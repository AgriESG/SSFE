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7895" yWindow="0" windowWidth="19410" windowHeight="20985" tabRatio="600" firstSheet="0" activeTab="0" autoFilterDateGrouping="1"/>
  </bookViews>
  <sheets>
    <sheet xmlns:r="http://schemas.openxmlformats.org/officeDocument/2006/relationships" name="Total Cereals" sheetId="1" state="visible" r:id="rId1"/>
    <sheet xmlns:r="http://schemas.openxmlformats.org/officeDocument/2006/relationships" name="Wheat" sheetId="2" state="visible" r:id="rId2"/>
    <sheet xmlns:r="http://schemas.openxmlformats.org/officeDocument/2006/relationships" name="Barley" sheetId="3" state="visible" r:id="rId3"/>
    <sheet xmlns:r="http://schemas.openxmlformats.org/officeDocument/2006/relationships" name="Oats" sheetId="4" state="visible" r:id="rId4"/>
    <sheet xmlns:r="http://schemas.openxmlformats.org/officeDocument/2006/relationships" name="Maize" sheetId="5" state="visible" r:id="rId5"/>
    <sheet xmlns:r="http://schemas.openxmlformats.org/officeDocument/2006/relationships" name="Other Cereals" sheetId="6" state="visible" r:id="rId6"/>
    <sheet xmlns:r="http://schemas.openxmlformats.org/officeDocument/2006/relationships" name="Disclaimer and notes" sheetId="7" state="visible" r:id="rId7"/>
  </sheets>
  <externalReferences>
    <externalReference xmlns:r="http://schemas.openxmlformats.org/officeDocument/2006/relationships" r:id="rId8"/>
  </externalReferences>
  <definedNames>
    <definedName name="Footnotes">[1]Monthly_Oatmillers!#REF!</definedName>
  </definedNames>
  <calcPr calcId="191029" fullCalcOnLoad="1"/>
</workbook>
</file>

<file path=xl/styles.xml><?xml version="1.0" encoding="utf-8"?>
<styleSheet xmlns="http://schemas.openxmlformats.org/spreadsheetml/2006/main">
  <numFmts count="2">
    <numFmt numFmtId="164" formatCode="_-* #,##0_-;\-* #,##0_-;_-* &quot;-&quot;??_-;_-@_-"/>
    <numFmt numFmtId="165" formatCode="_-* #,##0.000_-;\-* #,##0.000_-;_-* &quot;-&quot;??_-;_-@_-"/>
  </numFmts>
  <fonts count="23">
    <font>
      <name val="Calibri"/>
      <family val="2"/>
      <color theme="1"/>
      <sz val="11"/>
      <scheme val="minor"/>
    </font>
    <font>
      <name val="Calibri"/>
      <family val="2"/>
      <color theme="1"/>
      <sz val="11"/>
      <scheme val="minor"/>
    </font>
    <font>
      <name val="Arial"/>
      <family val="2"/>
      <color rgb="FF575756"/>
      <sz val="11"/>
    </font>
    <font>
      <name val="Arial"/>
      <family val="2"/>
      <i val="1"/>
      <color rgb="FF575756"/>
      <sz val="11"/>
    </font>
    <font>
      <name val="Calibri"/>
      <family val="2"/>
      <color theme="10"/>
      <sz val="11"/>
      <u val="single"/>
      <scheme val="minor"/>
    </font>
    <font>
      <name val="Arial"/>
      <family val="2"/>
      <color rgb="FF575756"/>
      <sz val="11"/>
      <vertAlign val="superscript"/>
    </font>
    <font>
      <name val="Arial"/>
      <family val="2"/>
      <sz val="11"/>
    </font>
    <font>
      <name val="Arial"/>
      <family val="2"/>
      <color theme="10"/>
      <sz val="11"/>
      <u val="single"/>
      <vertAlign val="superscript"/>
    </font>
    <font>
      <name val="Arial"/>
      <family val="2"/>
      <b val="1"/>
      <color rgb="FF0082CA"/>
      <sz val="16"/>
    </font>
    <font>
      <name val="Arial"/>
      <family val="2"/>
      <color theme="1"/>
      <sz val="11"/>
    </font>
    <font>
      <name val="Arial"/>
      <family val="2"/>
      <b val="1"/>
      <color rgb="FF575756"/>
      <sz val="12"/>
    </font>
    <font>
      <name val="Arial"/>
      <family val="2"/>
      <color rgb="FF575756"/>
      <sz val="12"/>
    </font>
    <font>
      <name val="Arial"/>
      <family val="2"/>
      <b val="1"/>
      <color theme="0"/>
      <sz val="12"/>
    </font>
    <font>
      <name val="Arial"/>
      <family val="2"/>
      <color rgb="FF000000"/>
      <sz val="10"/>
    </font>
    <font>
      <name val="Arial"/>
      <family val="2"/>
      <b val="1"/>
      <color rgb="FF95C11F"/>
      <sz val="12"/>
    </font>
    <font>
      <name val="MS Sans Serif"/>
      <color rgb="FF000000"/>
      <sz val="10"/>
    </font>
    <font>
      <name val="Arial"/>
      <family val="2"/>
      <color theme="10"/>
      <sz val="12"/>
      <u val="single"/>
    </font>
    <font>
      <name val="Calibri"/>
      <family val="2"/>
      <color rgb="FF575756"/>
      <sz val="11"/>
      <scheme val="minor"/>
    </font>
    <font>
      <name val="Arial"/>
      <family val="2"/>
      <color rgb="FF0563C1"/>
      <sz val="12"/>
      <u val="single"/>
    </font>
    <font>
      <name val="Arial"/>
      <family val="2"/>
      <color theme="10"/>
      <sz val="12"/>
      <u val="single"/>
      <vertAlign val="superscript"/>
    </font>
    <font>
      <name val="Arial"/>
      <family val="2"/>
      <color rgb="FF575756"/>
      <sz val="12"/>
      <vertAlign val="superscript"/>
    </font>
    <font>
      <name val="Arial"/>
      <family val="2"/>
      <b val="1"/>
      <color theme="10"/>
      <sz val="12"/>
      <u val="single"/>
    </font>
    <font>
      <name val="Calibri"/>
      <family val="2"/>
      <sz val="8"/>
      <scheme val="minor"/>
    </font>
  </fonts>
  <fills count="9">
    <fill>
      <patternFill/>
    </fill>
    <fill>
      <patternFill patternType="gray125"/>
    </fill>
    <fill>
      <patternFill patternType="solid">
        <fgColor theme="4" tint="0.7999816888943144"/>
        <bgColor indexed="65"/>
      </patternFill>
    </fill>
    <fill>
      <patternFill patternType="solid">
        <fgColor theme="4" tint="0.5999938962981048"/>
        <bgColor indexed="65"/>
      </patternFill>
    </fill>
    <fill>
      <patternFill patternType="solid">
        <fgColor rgb="FFDFEFFB"/>
        <bgColor indexed="64"/>
      </patternFill>
    </fill>
    <fill>
      <patternFill patternType="solid">
        <fgColor rgb="FFBBDDF5"/>
        <bgColor indexed="64"/>
      </patternFill>
    </fill>
    <fill>
      <patternFill patternType="solid">
        <fgColor rgb="FF0090D3"/>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right/>
      <top style="medium">
        <color rgb="FF0082CA"/>
      </top>
      <bottom/>
      <diagonal/>
    </border>
    <border>
      <left/>
      <right/>
      <top/>
      <bottom style="medium">
        <color rgb="FF0082CA"/>
      </bottom>
      <diagonal/>
    </border>
    <border>
      <left style="thin">
        <color theme="0"/>
      </left>
      <right style="thin">
        <color theme="0"/>
      </right>
      <top/>
      <bottom/>
      <diagonal/>
    </border>
  </borders>
  <cellStyleXfs count="7">
    <xf numFmtId="0" fontId="1" fillId="0" borderId="0"/>
    <xf numFmtId="43" fontId="1" fillId="0" borderId="0"/>
    <xf numFmtId="0" fontId="1" fillId="2" borderId="0"/>
    <xf numFmtId="0" fontId="1" fillId="3" borderId="0"/>
    <xf numFmtId="0" fontId="4" fillId="0" borderId="0"/>
    <xf numFmtId="0" fontId="13" fillId="0" borderId="0"/>
    <xf numFmtId="0" fontId="15" fillId="0" borderId="0"/>
  </cellStyleXfs>
  <cellXfs count="59">
    <xf numFmtId="0" fontId="0" fillId="0" borderId="0" pivotButton="0" quotePrefix="0" xfId="0"/>
    <xf numFmtId="0" fontId="2" fillId="0" borderId="0" pivotButton="0" quotePrefix="0" xfId="0"/>
    <xf numFmtId="0" fontId="3" fillId="0" borderId="0" pivotButton="0" quotePrefix="0" xfId="0"/>
    <xf numFmtId="0" fontId="2" fillId="0" borderId="0" applyAlignment="1" pivotButton="0" quotePrefix="0" xfId="2">
      <alignment horizontal="left" vertical="center"/>
    </xf>
    <xf numFmtId="164" fontId="2" fillId="0" borderId="0" applyAlignment="1" pivotButton="0" quotePrefix="0" xfId="1">
      <alignment horizontal="right" vertical="center"/>
    </xf>
    <xf numFmtId="164" fontId="2" fillId="0" borderId="0" pivotButton="0" quotePrefix="0" xfId="0"/>
    <xf numFmtId="0" fontId="6" fillId="0" borderId="0" pivotButton="0" quotePrefix="0" xfId="0"/>
    <xf numFmtId="0" fontId="9" fillId="7" borderId="0" applyAlignment="1" pivotButton="0" quotePrefix="0" xfId="0">
      <alignment horizontal="center" vertical="center"/>
    </xf>
    <xf numFmtId="0" fontId="9" fillId="7" borderId="0" applyAlignment="1" applyProtection="1" pivotButton="0" quotePrefix="0" xfId="0">
      <alignment vertical="center"/>
      <protection locked="0" hidden="0"/>
    </xf>
    <xf numFmtId="0" fontId="10" fillId="7" borderId="0" applyAlignment="1" pivotButton="0" quotePrefix="0" xfId="0">
      <alignment vertical="center"/>
    </xf>
    <xf numFmtId="0" fontId="10" fillId="7" borderId="0" applyAlignment="1" applyProtection="1" pivotButton="0" quotePrefix="0" xfId="0">
      <alignment vertical="center"/>
      <protection locked="0" hidden="0"/>
    </xf>
    <xf numFmtId="0" fontId="9" fillId="7" borderId="0" applyAlignment="1" applyProtection="1" pivotButton="0" quotePrefix="0" xfId="0">
      <alignment horizontal="center" vertical="center"/>
      <protection locked="0" hidden="0"/>
    </xf>
    <xf numFmtId="0" fontId="11" fillId="7" borderId="0" applyAlignment="1" applyProtection="1" pivotButton="0" quotePrefix="0" xfId="0">
      <alignment vertical="center"/>
      <protection locked="0" hidden="0"/>
    </xf>
    <xf numFmtId="0" fontId="9" fillId="7" borderId="0" applyProtection="1" pivotButton="0" quotePrefix="0" xfId="0">
      <protection locked="0" hidden="0"/>
    </xf>
    <xf numFmtId="0" fontId="0" fillId="7" borderId="0" pivotButton="0" quotePrefix="0" xfId="0"/>
    <xf numFmtId="0" fontId="14" fillId="7" borderId="1" applyAlignment="1" pivotButton="0" quotePrefix="0" xfId="5">
      <alignment vertical="center"/>
    </xf>
    <xf numFmtId="0" fontId="14" fillId="7" borderId="0" applyAlignment="1" pivotButton="0" quotePrefix="0" xfId="5">
      <alignment vertical="center"/>
    </xf>
    <xf numFmtId="0" fontId="0" fillId="7" borderId="2" pivotButton="0" quotePrefix="0" xfId="0"/>
    <xf numFmtId="0" fontId="11" fillId="7" borderId="0" applyAlignment="1" pivotButton="0" quotePrefix="0" xfId="6">
      <alignment vertical="top" wrapText="1"/>
    </xf>
    <xf numFmtId="0" fontId="11" fillId="7" borderId="0" applyAlignment="1" pivotButton="0" quotePrefix="0" xfId="6">
      <alignment vertical="top" wrapText="1"/>
    </xf>
    <xf numFmtId="0" fontId="11" fillId="7" borderId="0" applyAlignment="1" pivotButton="0" quotePrefix="0" xfId="6">
      <alignment horizontal="left" vertical="top"/>
    </xf>
    <xf numFmtId="0" fontId="10" fillId="7" borderId="0" applyAlignment="1" pivotButton="0" quotePrefix="0" xfId="6">
      <alignment vertical="top"/>
    </xf>
    <xf numFmtId="0" fontId="10" fillId="7" borderId="0" applyAlignment="1" pivotButton="0" quotePrefix="0" xfId="6">
      <alignment horizontal="left" vertical="top"/>
    </xf>
    <xf numFmtId="0" fontId="16" fillId="7" borderId="0" applyAlignment="1" pivotButton="0" quotePrefix="0" xfId="4">
      <alignment horizontal="left" vertical="top"/>
    </xf>
    <xf numFmtId="0" fontId="17" fillId="7" borderId="2" pivotButton="0" quotePrefix="0" xfId="0"/>
    <xf numFmtId="0" fontId="14" fillId="8" borderId="0" applyAlignment="1" pivotButton="0" quotePrefix="0" xfId="5">
      <alignment vertical="center"/>
    </xf>
    <xf numFmtId="0" fontId="11" fillId="8" borderId="0" pivotButton="0" quotePrefix="0" xfId="0"/>
    <xf numFmtId="0" fontId="16" fillId="8" borderId="0" pivotButton="0" quotePrefix="0" xfId="4"/>
    <xf numFmtId="0" fontId="18" fillId="8" borderId="0" pivotButton="0" quotePrefix="0" xfId="4"/>
    <xf numFmtId="0" fontId="16" fillId="8" borderId="0" pivotButton="0" quotePrefix="0" xfId="4"/>
    <xf numFmtId="0" fontId="16" fillId="5" borderId="3" applyAlignment="1" pivotButton="0" quotePrefix="0" xfId="4">
      <alignment horizontal="left" vertical="center"/>
    </xf>
    <xf numFmtId="164" fontId="11" fillId="5" borderId="3" applyAlignment="1" pivotButton="0" quotePrefix="0" xfId="1">
      <alignment horizontal="right" vertical="center"/>
    </xf>
    <xf numFmtId="0" fontId="11" fillId="4" borderId="3" applyAlignment="1" pivotButton="0" quotePrefix="0" xfId="3">
      <alignment horizontal="left" vertical="center"/>
    </xf>
    <xf numFmtId="164" fontId="11" fillId="4" borderId="3" applyAlignment="1" pivotButton="0" quotePrefix="0" xfId="1">
      <alignment horizontal="right" vertical="center"/>
    </xf>
    <xf numFmtId="0" fontId="16" fillId="4" borderId="3" applyAlignment="1" pivotButton="0" quotePrefix="0" xfId="4">
      <alignment horizontal="left" vertical="center"/>
    </xf>
    <xf numFmtId="0" fontId="11" fillId="4" borderId="3" applyAlignment="1" pivotButton="0" quotePrefix="0" xfId="2">
      <alignment horizontal="left" vertical="center"/>
    </xf>
    <xf numFmtId="0" fontId="10" fillId="4" borderId="3" applyAlignment="1" pivotButton="0" quotePrefix="0" xfId="3">
      <alignment horizontal="left" vertical="center"/>
    </xf>
    <xf numFmtId="164" fontId="10" fillId="4" borderId="3" applyAlignment="1" pivotButton="0" quotePrefix="0" xfId="1">
      <alignment horizontal="right" vertical="center"/>
    </xf>
    <xf numFmtId="0" fontId="11" fillId="5" borderId="3" applyAlignment="1" pivotButton="0" quotePrefix="0" xfId="4">
      <alignment horizontal="left" vertical="center"/>
    </xf>
    <xf numFmtId="0" fontId="12" fillId="6" borderId="3" applyAlignment="1" applyProtection="1" pivotButton="0" quotePrefix="0" xfId="0">
      <alignment horizontal="left" vertical="center" wrapText="1"/>
      <protection locked="0" hidden="0"/>
    </xf>
    <xf numFmtId="0" fontId="12" fillId="6" borderId="3" applyAlignment="1" applyProtection="1" pivotButton="0" quotePrefix="0" xfId="0">
      <alignment horizontal="center" vertical="center" wrapText="1"/>
      <protection locked="0" hidden="0"/>
    </xf>
    <xf numFmtId="0" fontId="10" fillId="5" borderId="3" applyAlignment="1" pivotButton="0" quotePrefix="0" xfId="3">
      <alignment horizontal="left" vertical="center"/>
    </xf>
    <xf numFmtId="164" fontId="10" fillId="5" borderId="3" applyAlignment="1" pivotButton="0" quotePrefix="0" xfId="1">
      <alignment horizontal="right" vertical="center"/>
    </xf>
    <xf numFmtId="0" fontId="10" fillId="5" borderId="3" applyAlignment="1" pivotButton="0" quotePrefix="0" xfId="2">
      <alignment horizontal="left" vertical="center"/>
    </xf>
    <xf numFmtId="0" fontId="11" fillId="5" borderId="3" applyAlignment="1" pivotButton="0" quotePrefix="0" xfId="3">
      <alignment horizontal="left" vertical="center"/>
    </xf>
    <xf numFmtId="0" fontId="10" fillId="4" borderId="3" applyAlignment="1" pivotButton="0" quotePrefix="0" xfId="2">
      <alignment horizontal="left" vertical="center"/>
    </xf>
    <xf numFmtId="0" fontId="21" fillId="5" borderId="3" applyAlignment="1" pivotButton="0" quotePrefix="0" xfId="4">
      <alignment horizontal="left" vertical="center"/>
    </xf>
    <xf numFmtId="0" fontId="11" fillId="5" borderId="3" applyAlignment="1" pivotButton="0" quotePrefix="0" xfId="2">
      <alignment horizontal="left" vertical="center"/>
    </xf>
    <xf numFmtId="0" fontId="21" fillId="5" borderId="3" pivotButton="0" quotePrefix="0" xfId="4"/>
    <xf numFmtId="0" fontId="11" fillId="7" borderId="0" pivotButton="0" quotePrefix="0" xfId="0"/>
    <xf numFmtId="0" fontId="11" fillId="7" borderId="2" pivotButton="0" quotePrefix="0" xfId="0"/>
    <xf numFmtId="165" fontId="2" fillId="0" borderId="0" pivotButton="0" quotePrefix="0" xfId="0"/>
    <xf numFmtId="0" fontId="8" fillId="7" borderId="0" applyAlignment="1" applyProtection="1" pivotButton="0" quotePrefix="0" xfId="0">
      <alignment horizontal="left" vertical="center"/>
      <protection locked="0" hidden="0"/>
    </xf>
    <xf numFmtId="0" fontId="10" fillId="7" borderId="0" applyAlignment="1" pivotButton="0" quotePrefix="0" xfId="6">
      <alignment horizontal="left" vertical="top" wrapText="1"/>
    </xf>
    <xf numFmtId="0" fontId="11" fillId="7" borderId="0" applyAlignment="1" pivotButton="0" quotePrefix="0" xfId="6">
      <alignment horizontal="left" vertical="top" wrapText="1"/>
    </xf>
    <xf numFmtId="0" fontId="10" fillId="7" borderId="0" applyAlignment="1" pivotButton="0" quotePrefix="0" xfId="6">
      <alignment horizontal="left" vertical="top"/>
    </xf>
    <xf numFmtId="0" fontId="16" fillId="7" borderId="0" applyAlignment="1" pivotButton="0" quotePrefix="0" xfId="4">
      <alignment horizontal="left" vertical="top"/>
    </xf>
    <xf numFmtId="0" fontId="11" fillId="7" borderId="0" applyAlignment="1" pivotButton="0" quotePrefix="0" xfId="5">
      <alignment horizontal="left" vertical="center" wrapText="1"/>
    </xf>
    <xf numFmtId="0" fontId="0" fillId="0" borderId="0" applyProtection="1" pivotButton="0" quotePrefix="0" xfId="0">
      <protection locked="0" hidden="0"/>
    </xf>
  </cellXfs>
  <cellStyles count="7">
    <cellStyle name="Normal" xfId="0" builtinId="0"/>
    <cellStyle name="Comma" xfId="1" builtinId="3"/>
    <cellStyle name="20% - Accent1" xfId="2" builtinId="30"/>
    <cellStyle name="40% - Accent1" xfId="3" builtinId="31"/>
    <cellStyle name="Hyperlink" xfId="4" builtinId="8"/>
    <cellStyle name="Normal 4" xfId="5"/>
    <cellStyle name="Normal 3" xfId="6"/>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twoCellAnchor>
    <from>
      <col>0</col>
      <colOff>0</colOff>
      <row>0</row>
      <rowOff>0</rowOff>
    </from>
    <to>
      <col>27</col>
      <colOff>0</colOff>
      <row>1</row>
      <rowOff>6350</rowOff>
    </to>
    <grpSp>
      <nvGrpSpPr>
        <cNvPr id="5" name="Group 4"/>
        <cNvGrpSpPr/>
      </nvGrpSpPr>
      <grpSpPr>
        <a:xfrm xmlns:a="http://schemas.openxmlformats.org/drawingml/2006/main" rot="0">
          <a:off x="0" y="0"/>
          <a:ext cx="26300906" cy="354806"/>
          <a:chOff x="0" y="0"/>
          <a:chExt cx="20321588" cy="375047"/>
        </a:xfrm>
      </grpSpPr>
      <pic>
        <nvPicPr>
          <cNvPr id="7"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drawings/drawing2.xml><?xml version="1.0" encoding="utf-8"?>
<wsDr xmlns="http://schemas.openxmlformats.org/drawingml/2006/spreadsheetDrawing">
  <twoCellAnchor>
    <from>
      <col>0</col>
      <colOff>0</colOff>
      <row>0</row>
      <rowOff>0</rowOff>
    </from>
    <to>
      <col>27</col>
      <colOff>0</colOff>
      <row>1</row>
      <rowOff>0</rowOff>
    </to>
    <grpSp>
      <nvGrpSpPr>
        <cNvPr id="2" name="Group 1"/>
        <cNvGrpSpPr/>
      </nvGrpSpPr>
      <grpSpPr>
        <a:xfrm xmlns:a="http://schemas.openxmlformats.org/drawingml/2006/main" rot="0">
          <a:off x="0" y="0"/>
          <a:ext cx="23622000" cy="338667"/>
          <a:chOff x="0" y="0"/>
          <a:chExt cx="20321588" cy="375047"/>
        </a:xfrm>
      </grpSpPr>
      <pic>
        <nvPicPr>
          <cNvPr id="3"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drawings/drawing3.xml><?xml version="1.0" encoding="utf-8"?>
<wsDr xmlns="http://schemas.openxmlformats.org/drawingml/2006/spreadsheetDrawing">
  <twoCellAnchor>
    <from>
      <col>0</col>
      <colOff>0</colOff>
      <row>0</row>
      <rowOff>0</rowOff>
    </from>
    <to>
      <col>27</col>
      <colOff>11905</colOff>
      <row>1</row>
      <rowOff>0</rowOff>
    </to>
    <grpSp>
      <nvGrpSpPr>
        <cNvPr id="5" name="Group 4"/>
        <cNvGrpSpPr/>
      </nvGrpSpPr>
      <grpSpPr>
        <a:xfrm xmlns:a="http://schemas.openxmlformats.org/drawingml/2006/main" rot="0">
          <a:off x="0" y="0"/>
          <a:ext cx="24249855" cy="345281"/>
          <a:chOff x="0" y="0"/>
          <a:chExt cx="20321588" cy="375047"/>
        </a:xfrm>
      </grpSpPr>
      <pic>
        <nvPicPr>
          <cNvPr id="7"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drawings/drawing4.xml><?xml version="1.0" encoding="utf-8"?>
<wsDr xmlns="http://schemas.openxmlformats.org/drawingml/2006/spreadsheetDrawing">
  <twoCellAnchor>
    <from>
      <col>0</col>
      <colOff>0</colOff>
      <row>0</row>
      <rowOff>0</rowOff>
    </from>
    <to>
      <col>27</col>
      <colOff>35719</colOff>
      <row>1</row>
      <rowOff>0</rowOff>
    </to>
    <grpSp>
      <nvGrpSpPr>
        <cNvPr id="5" name="Group 4"/>
        <cNvGrpSpPr/>
      </nvGrpSpPr>
      <grpSpPr>
        <a:xfrm xmlns:a="http://schemas.openxmlformats.org/drawingml/2006/main" rot="0">
          <a:off x="0" y="0"/>
          <a:ext cx="24467344" cy="345281"/>
          <a:chOff x="0" y="0"/>
          <a:chExt cx="20321588" cy="375047"/>
        </a:xfrm>
      </grpSpPr>
      <pic>
        <nvPicPr>
          <cNvPr id="7"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drawings/drawing5.xml><?xml version="1.0" encoding="utf-8"?>
<wsDr xmlns="http://schemas.openxmlformats.org/drawingml/2006/spreadsheetDrawing">
  <twoCellAnchor>
    <from>
      <col>0</col>
      <colOff>0</colOff>
      <row>0</row>
      <rowOff>0</rowOff>
    </from>
    <to>
      <col>27</col>
      <colOff>47624</colOff>
      <row>1</row>
      <rowOff>0</rowOff>
    </to>
    <grpSp>
      <nvGrpSpPr>
        <cNvPr id="5" name="Group 4"/>
        <cNvGrpSpPr/>
      </nvGrpSpPr>
      <grpSpPr>
        <a:xfrm xmlns:a="http://schemas.openxmlformats.org/drawingml/2006/main" rot="0">
          <a:off x="0" y="0"/>
          <a:ext cx="23982362" cy="345281"/>
          <a:chOff x="0" y="0"/>
          <a:chExt cx="20321588" cy="375047"/>
        </a:xfrm>
      </grpSpPr>
      <pic>
        <nvPicPr>
          <cNvPr id="7"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drawings/drawing6.xml><?xml version="1.0" encoding="utf-8"?>
<wsDr xmlns="http://schemas.openxmlformats.org/drawingml/2006/spreadsheetDrawing">
  <twoCellAnchor>
    <from>
      <col>0</col>
      <colOff>0</colOff>
      <row>0</row>
      <rowOff>0</rowOff>
    </from>
    <to>
      <col>27</col>
      <colOff>11906</colOff>
      <row>1</row>
      <rowOff>0</rowOff>
    </to>
    <grpSp>
      <nvGrpSpPr>
        <cNvPr id="4" name="Group 3"/>
        <cNvGrpSpPr/>
      </nvGrpSpPr>
      <grpSpPr>
        <a:xfrm xmlns:a="http://schemas.openxmlformats.org/drawingml/2006/main" rot="0">
          <a:off x="0" y="0"/>
          <a:ext cx="26321544" cy="345281"/>
          <a:chOff x="0" y="0"/>
          <a:chExt cx="20321588" cy="375047"/>
        </a:xfrm>
      </grpSpPr>
      <pic>
        <nvPicPr>
          <cNvPr id="6" name="Logo"/>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476250" cy="368727"/>
          </a:xfrm>
          <a:prstGeom xmlns:a="http://schemas.openxmlformats.org/drawingml/2006/main" prst="rect">
            <avLst/>
          </a:prstGeom>
          <a:ln xmlns:a="http://schemas.openxmlformats.org/drawingml/2006/mai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https://www.gov.uk/government/uploads/system/uploads/attachment_data/file/681093/cerealuse-oats-13feb18.od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Quarterly_Oatmillers"/>
      <sheetName val="Monthly_Oatmiller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oilseeds/uk-human-industrial-cereal-usage" TargetMode="External" Id="rId4"/><Relationship Type="http://schemas.openxmlformats.org/officeDocument/2006/relationships/hyperlink" Target="https://ahdb.org.uk/cereals-oilseeds/cereal-use-in-gb-animal-feed-production" TargetMode="External" Id="rId5"/><Relationship Type="http://schemas.openxmlformats.org/officeDocument/2006/relationships/hyperlink" Target="https://ahdb.org.uk/cereals-and-oilseeds-trade-data" TargetMode="External" Id="rId6"/><Relationship Type="http://schemas.openxmlformats.org/officeDocument/2006/relationships/hyperlink" Target="https://ahdb.org.uk/cereals-oilseeds/cereal-stocks" TargetMode="External" Id="rId7"/><Relationship Type="http://schemas.openxmlformats.org/officeDocument/2006/relationships/hyperlink" Target="https://projectblue.blob.core.windows.net/media/Default/MI%20Reports/BST/UK%20Supply%20and%20Demand/Methodologies/Rebranded%20Op%20Stock%20Methodology%20-%20Jul%2019.pdf" TargetMode="External" Id="rId8"/><Relationship Type="http://schemas.openxmlformats.org/officeDocument/2006/relationships/drawing" Target="/xl/drawings/drawing1.xml" Id="rId9"/></Relationships>
</file>

<file path=xl/worksheets/_rels/sheet2.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oilseeds/uk-human-industrial-cereal-usage" TargetMode="External" Id="rId4"/><Relationship Type="http://schemas.openxmlformats.org/officeDocument/2006/relationships/hyperlink" Target="https://ahdb.org.uk/cereals-oilseeds/cereal-use-in-gb-animal-feed-production" TargetMode="External" Id="rId5"/><Relationship Type="http://schemas.openxmlformats.org/officeDocument/2006/relationships/hyperlink" Target="https://ahdb.org.uk/cereals-and-oilseeds-trade-data" TargetMode="External" Id="rId6"/><Relationship Type="http://schemas.openxmlformats.org/officeDocument/2006/relationships/hyperlink" Target="https://ahdb.org.uk/cereal-stocks" TargetMode="External" Id="rId7"/><Relationship Type="http://schemas.openxmlformats.org/officeDocument/2006/relationships/hyperlink" Target="https://projectblue.blob.core.windows.net/media/Default/MI%20Reports/BST/UK%20Supply%20and%20Demand/Methodologies/Rebranded%20Op%20Stock%20Methodology%20-%20Jul%2019.pdf" TargetMode="External" Id="rId8"/><Relationship Type="http://schemas.openxmlformats.org/officeDocument/2006/relationships/drawing" Target="/xl/drawings/drawing2.xml" Id="rId9"/></Relationships>
</file>

<file path=xl/worksheets/_rels/sheet3.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oilseeds/uk-human-industrial-cereal-usage" TargetMode="External" Id="rId4"/><Relationship Type="http://schemas.openxmlformats.org/officeDocument/2006/relationships/hyperlink" Target="https://ahdb.org.uk/cereals-oilseeds/cereal-use-in-gb-animal-feed-production" TargetMode="External" Id="rId5"/><Relationship Type="http://schemas.openxmlformats.org/officeDocument/2006/relationships/hyperlink" Target="https://ahdb.org.uk/cereals-and-oilseeds-trade-data" TargetMode="External" Id="rId6"/><Relationship Type="http://schemas.openxmlformats.org/officeDocument/2006/relationships/hyperlink" Target="https://ahdb.org.uk/cereal-stocks" TargetMode="External" Id="rId7"/><Relationship Type="http://schemas.openxmlformats.org/officeDocument/2006/relationships/hyperlink" Target="https://projectblue.blob.core.windows.net/media/Default/MI%20Reports/BST/UK%20Supply%20and%20Demand/Methodologies/Rebranded%20Op%20Stock%20Methodology%20-%20Jul%2019.pdf" TargetMode="External" Id="rId8"/><Relationship Type="http://schemas.openxmlformats.org/officeDocument/2006/relationships/drawing" Target="/xl/drawings/drawing3.xml" Id="rId9"/></Relationships>
</file>

<file path=xl/worksheets/_rels/sheet4.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oilseeds/uk-human-industrial-cereal-usage" TargetMode="External" Id="rId4"/><Relationship Type="http://schemas.openxmlformats.org/officeDocument/2006/relationships/hyperlink" Target="https://ahdb.org.uk/cereals-oilseeds/cereal-use-in-gb-animal-feed-production" TargetMode="External" Id="rId5"/><Relationship Type="http://schemas.openxmlformats.org/officeDocument/2006/relationships/hyperlink" Target="https://ahdb.org.uk/cereals-and-oilseeds-trade-data" TargetMode="External" Id="rId6"/><Relationship Type="http://schemas.openxmlformats.org/officeDocument/2006/relationships/hyperlink" Target="https://ahdb.org.uk/cereal-stocks" TargetMode="External" Id="rId7"/><Relationship Type="http://schemas.openxmlformats.org/officeDocument/2006/relationships/drawing" Target="/xl/drawings/drawing4.xml" Id="rId8"/></Relationships>
</file>

<file path=xl/worksheets/_rels/sheet5.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oilseeds/uk-human-industrial-cereal-usage" TargetMode="External" Id="rId4"/><Relationship Type="http://schemas.openxmlformats.org/officeDocument/2006/relationships/hyperlink" Target="https://ahdb.org.uk/cereals-oilseeds/cereal-use-in-gb-animal-feed-production" TargetMode="External" Id="rId5"/><Relationship Type="http://schemas.openxmlformats.org/officeDocument/2006/relationships/hyperlink" Target="https://ahdb.org.uk/cereals-and-oilseeds-trade-data" TargetMode="External" Id="rId6"/><Relationship Type="http://schemas.openxmlformats.org/officeDocument/2006/relationships/hyperlink" Target="https://ahdb.org.uk/cereal-stocks" TargetMode="External" Id="rId7"/><Relationship Type="http://schemas.openxmlformats.org/officeDocument/2006/relationships/drawing" Target="/xl/drawings/drawing5.xml" Id="rId8"/></Relationships>
</file>

<file path=xl/worksheets/_rels/sheet6.xml.rels><Relationships xmlns="http://schemas.openxmlformats.org/package/2006/relationships"><Relationship Type="http://schemas.openxmlformats.org/officeDocument/2006/relationships/hyperlink" Target="https://ahdb.org.uk/cereal-stocks" TargetMode="External" Id="rId1"/><Relationship Type="http://schemas.openxmlformats.org/officeDocument/2006/relationships/hyperlink" Target="https://www.gov.uk/government/statistics/cereal-and-oilseed-rape-production" TargetMode="External" Id="rId2"/><Relationship Type="http://schemas.openxmlformats.org/officeDocument/2006/relationships/hyperlink" Target="https://ahdb.org.uk/cereals-and-oilseeds-trade-data" TargetMode="External" Id="rId3"/><Relationship Type="http://schemas.openxmlformats.org/officeDocument/2006/relationships/hyperlink" Target="https://ahdb.org.uk/cereals-and-oilseeds-trade-data" TargetMode="External" Id="rId4"/><Relationship Type="http://schemas.openxmlformats.org/officeDocument/2006/relationships/hyperlink" Target="https://ahdb.org.uk/cereal-stocks" TargetMode="External" Id="rId5"/><Relationship Type="http://schemas.openxmlformats.org/officeDocument/2006/relationships/drawing" Target="/xl/drawings/drawing6.xml" Id="rId6"/></Relationships>
</file>

<file path=xl/worksheets/_rels/sheet7.xml.rels><Relationships xmlns="http://schemas.openxmlformats.org/package/2006/relationships"><Relationship Type="http://schemas.openxmlformats.org/officeDocument/2006/relationships/hyperlink" Target="https://projectblue.blob.core.windows.net/media/Default/MI%20Reports/BST/UK%20Supply%20and%20Demand/Methodologies/Rebranded%20Op%20Stock%20Methodology%20-%20Jul%2019.pdf" TargetMode="External" Id="rId1"/><Relationship Type="http://schemas.openxmlformats.org/officeDocument/2006/relationships/hyperlink" Target="mailto:balance.sheet.team@ahdb.org.uk" TargetMode="External" Id="rId2"/><Relationship Type="http://schemas.openxmlformats.org/officeDocument/2006/relationships/hyperlink" Target="https://ahdb.org.uk/" TargetMode="External" Id="rId3"/></Relationships>
</file>

<file path=xl/worksheets/sheet1.xml><?xml version="1.0" encoding="utf-8"?>
<worksheet xmlns="http://schemas.openxmlformats.org/spreadsheetml/2006/main">
  <sheetPr>
    <outlinePr summaryBelow="1" summaryRight="1"/>
    <pageSetUpPr/>
  </sheetPr>
  <dimension ref="A2:AA25"/>
  <sheetViews>
    <sheetView showGridLines="0" tabSelected="1" zoomScale="80" zoomScaleNormal="80" workbookViewId="0">
      <pane xSplit="1" ySplit="7" topLeftCell="B8" activePane="bottomRight" state="frozen"/>
      <selection pane="topRight" activeCell="B1" sqref="B1"/>
      <selection pane="bottomLeft" activeCell="A8" sqref="A8"/>
      <selection pane="bottomRight" activeCell="A1" sqref="A1"/>
    </sheetView>
  </sheetViews>
  <sheetFormatPr baseColWidth="8" defaultColWidth="9.1796875" defaultRowHeight="14"/>
  <cols>
    <col width="70.81640625" customWidth="1" style="1" min="1" max="1"/>
    <col width="11.7265625" customWidth="1" style="1" min="2" max="28"/>
    <col width="9.1796875" customWidth="1" style="1" min="29" max="16384"/>
  </cols>
  <sheetData>
    <row r="1" ht="27" customHeight="1"/>
    <row r="2" ht="20" customHeight="1">
      <c r="A2" s="52" t="inlineStr">
        <is>
          <t>Historic UK cereal supply and demand estimates - Total cereals</t>
        </is>
      </c>
      <c r="B2" s="58" t="n"/>
      <c r="C2" s="58" t="n"/>
      <c r="D2" s="58" t="n"/>
      <c r="E2" s="58" t="n"/>
      <c r="F2" s="58" t="n"/>
      <c r="G2" s="58" t="n"/>
      <c r="H2" s="58" t="n"/>
      <c r="I2" s="58" t="n"/>
      <c r="J2" s="58" t="n"/>
      <c r="K2" s="58" t="n"/>
      <c r="L2" s="58" t="n"/>
    </row>
    <row r="3" ht="15.5" customHeight="1">
      <c r="A3" s="9" t="inlineStr">
        <is>
          <t>Source: AHDB, Defra</t>
        </is>
      </c>
      <c r="B3" s="7" t="n"/>
      <c r="C3" s="7" t="n"/>
      <c r="D3" s="7" t="n"/>
      <c r="E3" s="7" t="n"/>
      <c r="F3" s="7" t="n"/>
      <c r="G3" s="7" t="n"/>
      <c r="H3" s="7" t="n"/>
      <c r="I3" s="7" t="n"/>
      <c r="J3" s="7" t="n"/>
      <c r="K3" s="7" t="n"/>
      <c r="L3" s="7" t="n"/>
    </row>
    <row r="4" ht="15.5" customHeight="1">
      <c r="A4" s="10" t="inlineStr">
        <is>
          <t>Units: Thousand tonnes (Kt)</t>
        </is>
      </c>
      <c r="B4" s="11" t="n"/>
      <c r="C4" s="11" t="n"/>
      <c r="D4" s="11" t="n"/>
      <c r="E4" s="11" t="n"/>
      <c r="F4" s="11" t="n"/>
      <c r="G4" s="11" t="n"/>
      <c r="H4" s="11" t="n"/>
      <c r="I4" s="11" t="n"/>
      <c r="J4" s="11" t="n"/>
      <c r="K4" s="11" t="n"/>
      <c r="L4" s="11" t="n"/>
    </row>
    <row r="5" ht="15.5" customHeight="1">
      <c r="A5" s="12" t="inlineStr">
        <is>
          <t>Last updated: 26/03/2026</t>
        </is>
      </c>
      <c r="B5" s="8" t="n"/>
      <c r="C5" s="8" t="n"/>
      <c r="D5" s="8" t="n"/>
      <c r="E5" s="8" t="n"/>
      <c r="F5" s="8" t="n"/>
      <c r="G5" s="8" t="n"/>
      <c r="H5" s="8" t="n"/>
      <c r="I5" s="8" t="n"/>
      <c r="J5" s="8" t="n"/>
      <c r="K5" s="8" t="n"/>
      <c r="L5" s="8" t="n"/>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row>
    <row r="8" ht="15.5" customHeight="1">
      <c r="A8" s="30" t="inlineStr">
        <is>
          <t>Opening Stocks</t>
        </is>
      </c>
      <c r="B8" s="31" t="n">
        <v>3244</v>
      </c>
      <c r="C8" s="31" t="n">
        <v>2931</v>
      </c>
      <c r="D8" s="31" t="n">
        <v>3579</v>
      </c>
      <c r="E8" s="31" t="n">
        <v>3345</v>
      </c>
      <c r="F8" s="31" t="n">
        <v>3063</v>
      </c>
      <c r="G8" s="31" t="n">
        <v>2856</v>
      </c>
      <c r="H8" s="31" t="n">
        <v>3033</v>
      </c>
      <c r="I8" s="31" t="n">
        <v>2775.2</v>
      </c>
      <c r="J8" s="31" t="n">
        <v>2796.5</v>
      </c>
      <c r="K8" s="31" t="n">
        <v>2643.1</v>
      </c>
      <c r="L8" s="31" t="n">
        <v>4168.9</v>
      </c>
      <c r="M8" s="31" t="n">
        <v>3786.5</v>
      </c>
      <c r="N8" s="31" t="n">
        <v>2587.3</v>
      </c>
      <c r="O8" s="31" t="n">
        <v>2652</v>
      </c>
      <c r="P8" s="31" t="n">
        <v>3473</v>
      </c>
      <c r="Q8" s="31" t="n">
        <v>3370.01696410621</v>
      </c>
      <c r="R8" s="31" t="n">
        <v>4351.611175761602</v>
      </c>
      <c r="S8" s="31" t="n">
        <v>4399.8</v>
      </c>
      <c r="T8" s="31" t="n">
        <v>3246.591993183058</v>
      </c>
      <c r="U8" s="31" t="n">
        <v>3183.935433795535</v>
      </c>
      <c r="V8" s="31" t="n">
        <v>3436.887414928935</v>
      </c>
      <c r="W8" s="31" t="n">
        <v>4128.150363</v>
      </c>
      <c r="X8" s="31" t="n">
        <v>2833.777375509297</v>
      </c>
      <c r="Y8" s="31" t="n">
        <v>3167.145322</v>
      </c>
      <c r="Z8" s="31" t="n">
        <v>3511.916698215036</v>
      </c>
      <c r="AA8" s="31" t="n">
        <v>4230.893152472544</v>
      </c>
    </row>
    <row r="9" ht="15.5" customHeight="1">
      <c r="A9" s="30" t="inlineStr">
        <is>
          <t>Production</t>
        </is>
      </c>
      <c r="B9" s="31" t="n">
        <v>22123</v>
      </c>
      <c r="C9" s="31" t="n">
        <v>23985</v>
      </c>
      <c r="D9" s="31" t="n">
        <v>18983</v>
      </c>
      <c r="E9" s="31" t="n">
        <v>22966</v>
      </c>
      <c r="F9" s="31" t="n">
        <v>21511</v>
      </c>
      <c r="G9" s="31" t="n">
        <v>22030.031</v>
      </c>
      <c r="H9" s="31" t="n">
        <v>21005</v>
      </c>
      <c r="I9" s="31" t="n">
        <v>20842.619</v>
      </c>
      <c r="J9" s="31" t="n">
        <v>19130.136</v>
      </c>
      <c r="K9" s="31" t="n">
        <v>24282.859</v>
      </c>
      <c r="L9" s="31" t="n">
        <v>21618.283</v>
      </c>
      <c r="M9" s="31" t="n">
        <v>20946.166</v>
      </c>
      <c r="N9" s="31" t="n">
        <v>21484.312</v>
      </c>
      <c r="O9" s="31" t="n">
        <v>19515</v>
      </c>
      <c r="P9" s="31" t="n">
        <v>19971.31209283751</v>
      </c>
      <c r="Q9" s="31" t="n">
        <v>24225</v>
      </c>
      <c r="R9" s="31" t="n">
        <v>24796</v>
      </c>
      <c r="S9" s="31" t="n">
        <v>21964</v>
      </c>
      <c r="T9" s="31" t="n">
        <v>22999.42654801326</v>
      </c>
      <c r="U9" s="31" t="n">
        <v>21084.50236454288</v>
      </c>
      <c r="V9" s="31" t="n">
        <v>25516.50675819962</v>
      </c>
      <c r="W9" s="31" t="n">
        <v>18974.26</v>
      </c>
      <c r="X9" s="31" t="n">
        <v>22369.01418438958</v>
      </c>
      <c r="Y9" s="31" t="n">
        <v>24262.15392390751</v>
      </c>
      <c r="Z9" s="31" t="n">
        <v>22044.22887920876</v>
      </c>
      <c r="AA9" s="31" t="n">
        <v>19447.79256453392</v>
      </c>
    </row>
    <row r="10" ht="15.5" customHeight="1">
      <c r="A10" s="30" t="inlineStr">
        <is>
          <t>Imports</t>
        </is>
      </c>
      <c r="B10" s="31" t="n">
        <v>2877.4</v>
      </c>
      <c r="C10" s="31" t="n">
        <v>2839</v>
      </c>
      <c r="D10" s="31" t="n">
        <v>3187</v>
      </c>
      <c r="E10" s="31" t="n">
        <v>2686</v>
      </c>
      <c r="F10" s="31" t="n">
        <v>2553</v>
      </c>
      <c r="G10" s="31" t="n">
        <v>2546</v>
      </c>
      <c r="H10" s="31" t="n">
        <v>2436</v>
      </c>
      <c r="I10" s="31" t="n">
        <v>2473.7</v>
      </c>
      <c r="J10" s="31" t="n">
        <v>3133.9</v>
      </c>
      <c r="K10" s="31" t="n">
        <v>2441</v>
      </c>
      <c r="L10" s="31" t="n">
        <v>2267</v>
      </c>
      <c r="M10" s="31" t="n">
        <v>2158.5</v>
      </c>
      <c r="N10" s="31" t="n">
        <v>2113.7</v>
      </c>
      <c r="O10" s="31" t="n">
        <v>5000</v>
      </c>
      <c r="P10" s="31" t="n">
        <v>4674.415633663941</v>
      </c>
      <c r="Q10" s="31" t="n">
        <v>3702</v>
      </c>
      <c r="R10" s="31" t="n">
        <v>3452</v>
      </c>
      <c r="S10" s="31" t="n">
        <v>4002.637919999999</v>
      </c>
      <c r="T10" s="31" t="n">
        <v>3945.457820000001</v>
      </c>
      <c r="U10" s="31" t="n">
        <v>4789.12495</v>
      </c>
      <c r="V10" s="31" t="n">
        <v>3521.39197</v>
      </c>
      <c r="W10" s="31" t="n">
        <v>5396.90644</v>
      </c>
      <c r="X10" s="31" t="n">
        <v>4317.816000000001</v>
      </c>
      <c r="Y10" s="31" t="n">
        <v>3593.60368</v>
      </c>
      <c r="Z10" s="31" t="n">
        <v>5300.057739999999</v>
      </c>
      <c r="AA10" s="31" t="n">
        <v>6428.417820000001</v>
      </c>
    </row>
    <row r="11" ht="15.5" customHeight="1">
      <c r="A11" s="41" t="inlineStr">
        <is>
          <t>Total Availability</t>
        </is>
      </c>
      <c r="B11" s="42" t="n">
        <v>28244</v>
      </c>
      <c r="C11" s="42" t="n">
        <v>29755</v>
      </c>
      <c r="D11" s="42" t="n">
        <v>25749</v>
      </c>
      <c r="E11" s="42" t="n">
        <v>28997</v>
      </c>
      <c r="F11" s="42" t="n">
        <v>27127</v>
      </c>
      <c r="G11" s="42" t="n">
        <v>27432.031</v>
      </c>
      <c r="H11" s="42" t="n">
        <v>26474</v>
      </c>
      <c r="I11" s="42" t="n">
        <v>26091.519</v>
      </c>
      <c r="J11" s="42" t="n">
        <v>25060.536</v>
      </c>
      <c r="K11" s="42" t="n">
        <v>29366.959</v>
      </c>
      <c r="L11" s="42" t="n">
        <v>28054.183</v>
      </c>
      <c r="M11" s="42" t="n">
        <v>26891.166</v>
      </c>
      <c r="N11" s="42" t="n">
        <v>26185.312</v>
      </c>
      <c r="O11" s="42" t="n">
        <v>27167</v>
      </c>
      <c r="P11" s="42" t="n">
        <v>28118.72772650145</v>
      </c>
      <c r="Q11" s="42" t="n">
        <v>31297.01696410621</v>
      </c>
      <c r="R11" s="42" t="n">
        <v>32599.6111757616</v>
      </c>
      <c r="S11" s="42" t="n">
        <v>30366.43792</v>
      </c>
      <c r="T11" s="42" t="n">
        <v>30191.47636119631</v>
      </c>
      <c r="U11" s="42" t="n">
        <v>29057.56274833842</v>
      </c>
      <c r="V11" s="42" t="n">
        <v>32474.78614312856</v>
      </c>
      <c r="W11" s="42" t="n">
        <v>28499.316803</v>
      </c>
      <c r="X11" s="42" t="n">
        <v>29520.60755989888</v>
      </c>
      <c r="Y11" s="42" t="n">
        <v>31022.90292590751</v>
      </c>
      <c r="Z11" s="42" t="n">
        <v>30856.2033174238</v>
      </c>
      <c r="AA11" s="42" t="n">
        <v>30107.10353700647</v>
      </c>
    </row>
    <row r="12" ht="15.5" customHeight="1">
      <c r="A12" s="34" t="inlineStr">
        <is>
          <t>Human and Industrial (H&amp;I) (wheat, barley, maize, oats) (a)</t>
        </is>
      </c>
      <c r="B12" s="33" t="n">
        <v>9597</v>
      </c>
      <c r="C12" s="33" t="n">
        <v>9791</v>
      </c>
      <c r="D12" s="33" t="n">
        <v>9762</v>
      </c>
      <c r="E12" s="33" t="n">
        <v>9684</v>
      </c>
      <c r="F12" s="33" t="n">
        <v>9553</v>
      </c>
      <c r="G12" s="33" t="n">
        <v>9328</v>
      </c>
      <c r="H12" s="33" t="n">
        <v>9168</v>
      </c>
      <c r="I12" s="33" t="n">
        <v>9280</v>
      </c>
      <c r="J12" s="33" t="n">
        <v>9474</v>
      </c>
      <c r="K12" s="33" t="n">
        <v>9329</v>
      </c>
      <c r="L12" s="33" t="n">
        <v>9214</v>
      </c>
      <c r="M12" s="33" t="n">
        <v>9700</v>
      </c>
      <c r="N12" s="33" t="n">
        <v>9388</v>
      </c>
      <c r="O12" s="33" t="n">
        <v>10429</v>
      </c>
      <c r="P12" s="33" t="n">
        <v>10608.1674852498</v>
      </c>
      <c r="Q12" s="33" t="n">
        <v>10838.1911682202</v>
      </c>
      <c r="R12" s="33" t="n">
        <v>10183</v>
      </c>
      <c r="S12" s="33" t="n">
        <v>11063.840582</v>
      </c>
      <c r="T12" s="33" t="n">
        <v>10852.662469</v>
      </c>
      <c r="U12" s="33" t="n">
        <v>10205.541052</v>
      </c>
      <c r="V12" s="33" t="n">
        <v>10063.292217</v>
      </c>
      <c r="W12" s="33" t="n">
        <v>9880.810715999998</v>
      </c>
      <c r="X12" s="33" t="n">
        <v>10401.703499</v>
      </c>
      <c r="Y12" s="33" t="n">
        <v>10601.748092</v>
      </c>
      <c r="Z12" s="33" t="n">
        <v>10834.076407</v>
      </c>
      <c r="AA12" s="33" t="n">
        <v>10451.75005054035</v>
      </c>
    </row>
    <row r="13" ht="15.5" customHeight="1">
      <c r="A13" s="34" t="inlineStr">
        <is>
          <t xml:space="preserve">Animal Feed (wheat, barley, maize, oats) </t>
        </is>
      </c>
      <c r="B13" s="33" t="n">
        <v>9905</v>
      </c>
      <c r="C13" s="33" t="n">
        <v>10741</v>
      </c>
      <c r="D13" s="33" t="n">
        <v>10533</v>
      </c>
      <c r="E13" s="33" t="n">
        <v>10766</v>
      </c>
      <c r="F13" s="33" t="n">
        <v>10698</v>
      </c>
      <c r="G13" s="33" t="n">
        <v>10635</v>
      </c>
      <c r="H13" s="33" t="n">
        <v>10748</v>
      </c>
      <c r="I13" s="33" t="n">
        <v>10519</v>
      </c>
      <c r="J13" s="33" t="n">
        <v>9884</v>
      </c>
      <c r="K13" s="33" t="n">
        <v>10565</v>
      </c>
      <c r="L13" s="33" t="n">
        <v>10696</v>
      </c>
      <c r="M13" s="33" t="n">
        <v>10284</v>
      </c>
      <c r="N13" s="33" t="n">
        <v>9945</v>
      </c>
      <c r="O13" s="33" t="n">
        <v>11344</v>
      </c>
      <c r="P13" s="33" t="n">
        <v>11610.89779826445</v>
      </c>
      <c r="Q13" s="33" t="n">
        <v>11737</v>
      </c>
      <c r="R13" s="33" t="n">
        <v>12256</v>
      </c>
      <c r="S13" s="33" t="n">
        <v>12288.418</v>
      </c>
      <c r="T13" s="33" t="n">
        <v>13063.664</v>
      </c>
      <c r="U13" s="33" t="n">
        <v>12858.291</v>
      </c>
      <c r="V13" s="33" t="n">
        <v>13411.929</v>
      </c>
      <c r="W13" s="33" t="n">
        <v>13357.496</v>
      </c>
      <c r="X13" s="33" t="n">
        <v>13126.476</v>
      </c>
      <c r="Y13" s="33" t="n">
        <v>12430.88720968029</v>
      </c>
      <c r="Z13" s="33" t="n">
        <v>12912.55258236175</v>
      </c>
      <c r="AA13" s="33" t="n">
        <v>13369.31222399473</v>
      </c>
    </row>
    <row r="14" ht="16.5" customHeight="1">
      <c r="A14" s="32" t="inlineStr">
        <is>
          <t>Other cereals (H&amp;I and Animal Feed)  (g)</t>
        </is>
      </c>
      <c r="B14" s="33" t="n">
        <v>133</v>
      </c>
      <c r="C14" s="33" t="n">
        <v>153</v>
      </c>
      <c r="D14" s="33" t="n">
        <v>96</v>
      </c>
      <c r="E14" s="33" t="n">
        <v>111</v>
      </c>
      <c r="F14" s="33" t="n">
        <v>103</v>
      </c>
      <c r="G14" s="33" t="n">
        <v>114.031</v>
      </c>
      <c r="H14" s="33" t="n">
        <v>117</v>
      </c>
      <c r="I14" s="33" t="n">
        <v>122.619</v>
      </c>
      <c r="J14" s="33" t="n">
        <v>272.136</v>
      </c>
      <c r="K14" s="33" t="n">
        <v>129.859</v>
      </c>
      <c r="L14" s="33" t="n">
        <v>131.283</v>
      </c>
      <c r="M14" s="33" t="n">
        <v>128.166</v>
      </c>
      <c r="N14" s="33" t="n">
        <v>111.312</v>
      </c>
      <c r="O14" s="33" t="n">
        <v>109</v>
      </c>
      <c r="P14" s="33" t="n">
        <v>107</v>
      </c>
      <c r="Q14" s="33" t="n">
        <v>129</v>
      </c>
      <c r="R14" s="33" t="n">
        <v>121</v>
      </c>
      <c r="S14" s="33" t="n">
        <v>110</v>
      </c>
      <c r="T14" s="33" t="n">
        <v>120.511</v>
      </c>
      <c r="U14" s="33" t="n">
        <v>169</v>
      </c>
      <c r="V14" s="33" t="n">
        <v>166</v>
      </c>
      <c r="W14" s="33" t="n">
        <v>166</v>
      </c>
      <c r="X14" s="33" t="n">
        <v>289</v>
      </c>
      <c r="Y14" s="33" t="n">
        <v>300</v>
      </c>
      <c r="Z14" s="33" t="n">
        <v>262</v>
      </c>
      <c r="AA14" s="33" t="n">
        <v>233</v>
      </c>
    </row>
    <row r="15" ht="16.5" customHeight="1">
      <c r="A15" s="32" t="inlineStr">
        <is>
          <t>Seed (b)</t>
        </is>
      </c>
      <c r="B15" s="33" t="n">
        <v>591</v>
      </c>
      <c r="C15" s="33" t="n">
        <v>471</v>
      </c>
      <c r="D15" s="33" t="n">
        <v>479</v>
      </c>
      <c r="E15" s="33" t="n">
        <v>460</v>
      </c>
      <c r="F15" s="33" t="n">
        <v>451</v>
      </c>
      <c r="G15" s="33" t="n">
        <v>438</v>
      </c>
      <c r="H15" s="33" t="n">
        <v>417</v>
      </c>
      <c r="I15" s="33" t="n">
        <v>409</v>
      </c>
      <c r="J15" s="33" t="n">
        <v>487.06</v>
      </c>
      <c r="K15" s="33" t="n">
        <v>503.86</v>
      </c>
      <c r="L15" s="33" t="n">
        <v>482.51</v>
      </c>
      <c r="M15" s="33" t="n">
        <v>460.36</v>
      </c>
      <c r="N15" s="33" t="n">
        <v>467.229</v>
      </c>
      <c r="O15" s="33" t="n">
        <v>514</v>
      </c>
      <c r="P15" s="33" t="n">
        <v>476.658267377579</v>
      </c>
      <c r="Q15" s="33" t="n">
        <v>489.601</v>
      </c>
      <c r="R15" s="33" t="n">
        <v>485</v>
      </c>
      <c r="S15" s="33" t="n">
        <v>493</v>
      </c>
      <c r="T15" s="33" t="n">
        <v>481</v>
      </c>
      <c r="U15" s="33" t="n">
        <v>496</v>
      </c>
      <c r="V15" s="33" t="n">
        <v>470</v>
      </c>
      <c r="W15" s="33" t="n">
        <v>494</v>
      </c>
      <c r="X15" s="33" t="n">
        <v>492</v>
      </c>
      <c r="Y15" s="33" t="n">
        <v>483</v>
      </c>
      <c r="Z15" s="33" t="n">
        <v>461</v>
      </c>
      <c r="AA15" s="33" t="n">
        <v>468</v>
      </c>
    </row>
    <row r="16" ht="16.5" customHeight="1">
      <c r="A16" s="35" t="inlineStr">
        <is>
          <t>Other (e)</t>
        </is>
      </c>
      <c r="B16" s="33" t="n">
        <v>224</v>
      </c>
      <c r="C16" s="33" t="n">
        <v>233</v>
      </c>
      <c r="D16" s="33" t="n">
        <v>209</v>
      </c>
      <c r="E16" s="33" t="n">
        <v>229</v>
      </c>
      <c r="F16" s="33" t="n">
        <v>221</v>
      </c>
      <c r="G16" s="33" t="n">
        <v>239</v>
      </c>
      <c r="H16" s="33" t="n">
        <v>218</v>
      </c>
      <c r="I16" s="33" t="n">
        <v>218</v>
      </c>
      <c r="J16" s="33" t="n">
        <v>209</v>
      </c>
      <c r="K16" s="33" t="n">
        <v>235</v>
      </c>
      <c r="L16" s="33" t="n">
        <v>221</v>
      </c>
      <c r="M16" s="33" t="n">
        <v>217</v>
      </c>
      <c r="N16" s="33" t="n">
        <v>220</v>
      </c>
      <c r="O16" s="33" t="n">
        <v>101</v>
      </c>
      <c r="P16" s="33" t="n">
        <v>111.0498498938005</v>
      </c>
      <c r="Q16" s="33" t="n">
        <v>131</v>
      </c>
      <c r="R16" s="33" t="n">
        <v>129</v>
      </c>
      <c r="S16" s="33" t="n">
        <v>113</v>
      </c>
      <c r="T16" s="33" t="n">
        <v>118</v>
      </c>
      <c r="U16" s="33" t="n">
        <v>109</v>
      </c>
      <c r="V16" s="33" t="n">
        <v>130</v>
      </c>
      <c r="W16" s="33" t="n">
        <v>98</v>
      </c>
      <c r="X16" s="33" t="n">
        <v>115</v>
      </c>
      <c r="Y16" s="33" t="n">
        <v>116</v>
      </c>
      <c r="Z16" s="33" t="n">
        <v>113</v>
      </c>
      <c r="AA16" s="33" t="n">
        <v>100</v>
      </c>
    </row>
    <row r="17" ht="15.5" customHeight="1">
      <c r="A17" s="36" t="inlineStr">
        <is>
          <t>Total Domestic Consumption</t>
        </is>
      </c>
      <c r="B17" s="37" t="n">
        <v>20450</v>
      </c>
      <c r="C17" s="37" t="n">
        <v>21389</v>
      </c>
      <c r="D17" s="37" t="n">
        <v>21079</v>
      </c>
      <c r="E17" s="37" t="n">
        <v>21250</v>
      </c>
      <c r="F17" s="37" t="n">
        <v>21026</v>
      </c>
      <c r="G17" s="37" t="n">
        <v>20754.031</v>
      </c>
      <c r="H17" s="37" t="n">
        <v>20668</v>
      </c>
      <c r="I17" s="37" t="n">
        <v>20548.619</v>
      </c>
      <c r="J17" s="37" t="n">
        <v>20326.196</v>
      </c>
      <c r="K17" s="37" t="n">
        <v>20762.719</v>
      </c>
      <c r="L17" s="37" t="n">
        <v>20744.793</v>
      </c>
      <c r="M17" s="37" t="n">
        <v>20789.526</v>
      </c>
      <c r="N17" s="37" t="n">
        <v>20131.541</v>
      </c>
      <c r="O17" s="37" t="n">
        <v>22497</v>
      </c>
      <c r="P17" s="37" t="n">
        <v>22913.77340078563</v>
      </c>
      <c r="Q17" s="37" t="n">
        <v>23324.7921682202</v>
      </c>
      <c r="R17" s="37" t="n">
        <v>23174</v>
      </c>
      <c r="S17" s="37" t="n">
        <v>24068.258582</v>
      </c>
      <c r="T17" s="37" t="n">
        <v>24635.837469</v>
      </c>
      <c r="U17" s="37" t="n">
        <v>23837.832052</v>
      </c>
      <c r="V17" s="37" t="n">
        <v>24241.221217</v>
      </c>
      <c r="W17" s="37" t="n">
        <v>23996.306716</v>
      </c>
      <c r="X17" s="37" t="n">
        <v>24424.179499</v>
      </c>
      <c r="Y17" s="37" t="n">
        <v>23931.63530168029</v>
      </c>
      <c r="Z17" s="37" t="n">
        <v>24582.62898936175</v>
      </c>
      <c r="AA17" s="37" t="n">
        <v>24622.06227453507</v>
      </c>
    </row>
    <row r="18" ht="15.5" customHeight="1">
      <c r="A18" s="43" t="inlineStr">
        <is>
          <t>Balance</t>
        </is>
      </c>
      <c r="B18" s="42" t="n">
        <v>7794</v>
      </c>
      <c r="C18" s="42" t="n">
        <v>8366</v>
      </c>
      <c r="D18" s="42" t="n">
        <v>4670</v>
      </c>
      <c r="E18" s="42" t="n">
        <v>7747</v>
      </c>
      <c r="F18" s="42" t="n">
        <v>6101</v>
      </c>
      <c r="G18" s="42" t="n">
        <v>6678</v>
      </c>
      <c r="H18" s="42" t="n">
        <v>5806</v>
      </c>
      <c r="I18" s="42" t="n">
        <v>5542.900000000001</v>
      </c>
      <c r="J18" s="42" t="n">
        <v>4734.34</v>
      </c>
      <c r="K18" s="42" t="n">
        <v>8604.239999999998</v>
      </c>
      <c r="L18" s="42" t="n">
        <v>7309.389999999999</v>
      </c>
      <c r="M18" s="42" t="n">
        <v>6101.639999999999</v>
      </c>
      <c r="N18" s="42" t="n">
        <v>6053.771000000001</v>
      </c>
      <c r="O18" s="42" t="n">
        <v>4670</v>
      </c>
      <c r="P18" s="42" t="n">
        <v>5204.954325715818</v>
      </c>
      <c r="Q18" s="42" t="n">
        <v>7972.224795886006</v>
      </c>
      <c r="R18" s="42" t="n">
        <v>9425.611175761602</v>
      </c>
      <c r="S18" s="42" t="n">
        <v>6298.179338000002</v>
      </c>
      <c r="T18" s="42" t="n">
        <v>5555.638892196315</v>
      </c>
      <c r="U18" s="42" t="n">
        <v>5219.730696338422</v>
      </c>
      <c r="V18" s="42" t="n">
        <v>8233.564926128562</v>
      </c>
      <c r="W18" s="42" t="n">
        <v>4503.010087000002</v>
      </c>
      <c r="X18" s="42" t="n">
        <v>5096.428060898885</v>
      </c>
      <c r="Y18" s="42" t="n">
        <v>7091.267624227221</v>
      </c>
      <c r="Z18" s="42" t="n">
        <v>6273.574328062045</v>
      </c>
      <c r="AA18" s="42" t="n">
        <v>5485.041262471394</v>
      </c>
    </row>
    <row r="19" ht="15.5" customHeight="1">
      <c r="A19" s="36" t="inlineStr">
        <is>
          <t>Exports</t>
        </is>
      </c>
      <c r="B19" s="37" t="n">
        <v>4854</v>
      </c>
      <c r="C19" s="37" t="n">
        <v>4788</v>
      </c>
      <c r="D19" s="37" t="n">
        <v>1296</v>
      </c>
      <c r="E19" s="37" t="n">
        <v>4684</v>
      </c>
      <c r="F19" s="37" t="n">
        <v>3245</v>
      </c>
      <c r="G19" s="37" t="n">
        <v>3645</v>
      </c>
      <c r="H19" s="37" t="n">
        <v>3031</v>
      </c>
      <c r="I19" s="37" t="n">
        <v>2746.2</v>
      </c>
      <c r="J19" s="37" t="n">
        <v>2091.4</v>
      </c>
      <c r="K19" s="37" t="n">
        <v>4435</v>
      </c>
      <c r="L19" s="37" t="n">
        <v>3526</v>
      </c>
      <c r="M19" s="37" t="n">
        <v>3515</v>
      </c>
      <c r="N19" s="37" t="n">
        <v>3402</v>
      </c>
      <c r="O19" s="37" t="n">
        <v>1198</v>
      </c>
      <c r="P19" s="37" t="n">
        <v>1836.430901716089</v>
      </c>
      <c r="Q19" s="37" t="n">
        <v>3621</v>
      </c>
      <c r="R19" s="37" t="n">
        <v>5027</v>
      </c>
      <c r="S19" s="37" t="n">
        <v>2659.955150000002</v>
      </c>
      <c r="T19" s="37" t="n">
        <v>1748.987080000002</v>
      </c>
      <c r="U19" s="37" t="n">
        <v>1446.291940000001</v>
      </c>
      <c r="V19" s="37" t="n">
        <v>3249.452</v>
      </c>
      <c r="W19" s="37" t="n">
        <v>1679.335230000001</v>
      </c>
      <c r="X19" s="37" t="n">
        <v>1536.791</v>
      </c>
      <c r="Y19" s="37" t="n">
        <v>3040.8006</v>
      </c>
      <c r="Z19" s="37" t="n">
        <v>1321.13982</v>
      </c>
      <c r="AA19" s="37" t="n">
        <v>1150.48963</v>
      </c>
    </row>
    <row r="20" ht="15.5" customHeight="1">
      <c r="A20" s="32" t="inlineStr">
        <is>
          <t>Intervention Stocks</t>
        </is>
      </c>
      <c r="B20" s="33" t="n">
        <v>148</v>
      </c>
      <c r="C20" s="33" t="n">
        <v>11</v>
      </c>
      <c r="D20" s="33" t="n">
        <v>134</v>
      </c>
      <c r="E20" s="33" t="n">
        <v>144</v>
      </c>
      <c r="F20" s="33" t="n">
        <v>0</v>
      </c>
      <c r="G20" s="33" t="n">
        <v>16</v>
      </c>
      <c r="H20" s="33" t="n">
        <v>30</v>
      </c>
      <c r="I20" s="33" t="n">
        <v>0</v>
      </c>
      <c r="J20" s="33" t="n">
        <v>0</v>
      </c>
      <c r="K20" s="33" t="n">
        <v>0</v>
      </c>
      <c r="L20" s="33" t="n">
        <v>155</v>
      </c>
      <c r="M20" s="33" t="n">
        <v>0</v>
      </c>
      <c r="N20" s="33" t="n">
        <v>0</v>
      </c>
      <c r="O20" s="33" t="n">
        <v>0</v>
      </c>
      <c r="P20" s="33" t="n">
        <v>0</v>
      </c>
      <c r="Q20" s="33" t="n">
        <v>0</v>
      </c>
      <c r="R20" s="33" t="n">
        <v>0</v>
      </c>
      <c r="S20" s="33" t="n">
        <v>0</v>
      </c>
      <c r="T20" s="33" t="n">
        <v>0</v>
      </c>
      <c r="U20" s="33" t="n">
        <v>0</v>
      </c>
      <c r="V20" s="33" t="n">
        <v>0</v>
      </c>
      <c r="W20" s="33" t="n">
        <v>0</v>
      </c>
      <c r="X20" s="33" t="n">
        <v>0</v>
      </c>
      <c r="Y20" s="33" t="n">
        <v>0</v>
      </c>
      <c r="Z20" s="33" t="n">
        <v>0</v>
      </c>
      <c r="AA20" s="33" t="n">
        <v>0</v>
      </c>
    </row>
    <row r="21" ht="15.5" customHeight="1">
      <c r="A21" s="48" t="inlineStr">
        <is>
          <t>Commercial End-Season Stocks</t>
        </is>
      </c>
      <c r="B21" s="31" t="n">
        <v>2792</v>
      </c>
      <c r="C21" s="31" t="n">
        <v>3567</v>
      </c>
      <c r="D21" s="31" t="n">
        <v>3240</v>
      </c>
      <c r="E21" s="31" t="n">
        <v>2919</v>
      </c>
      <c r="F21" s="31" t="n">
        <v>2856</v>
      </c>
      <c r="G21" s="31" t="n">
        <v>3017</v>
      </c>
      <c r="H21" s="31" t="n">
        <v>2745.2</v>
      </c>
      <c r="I21" s="31" t="n">
        <v>2796.5</v>
      </c>
      <c r="J21" s="31" t="n">
        <v>2643.1</v>
      </c>
      <c r="K21" s="31" t="n">
        <v>4169</v>
      </c>
      <c r="L21" s="31" t="n">
        <v>3632</v>
      </c>
      <c r="M21" s="31" t="n">
        <v>2587.3</v>
      </c>
      <c r="N21" s="31" t="n">
        <v>2652.2</v>
      </c>
      <c r="O21" s="31" t="n">
        <v>3473</v>
      </c>
      <c r="P21" s="31" t="n">
        <v>3368.323423999725</v>
      </c>
      <c r="Q21" s="31" t="n">
        <v>4351.611175761602</v>
      </c>
      <c r="R21" s="31" t="n">
        <v>4400.16</v>
      </c>
      <c r="S21" s="31" t="n">
        <v>3246.591993183058</v>
      </c>
      <c r="T21" s="31" t="n">
        <v>3183.935433795535</v>
      </c>
      <c r="U21" s="31" t="n">
        <v>3437.189154928934</v>
      </c>
      <c r="V21" s="31" t="n">
        <v>4128.410363</v>
      </c>
      <c r="W21" s="31" t="n">
        <v>2833.777375509297</v>
      </c>
      <c r="X21" s="31" t="n">
        <v>3167.145322</v>
      </c>
      <c r="Y21" s="31" t="n">
        <v>3511.916698215036</v>
      </c>
      <c r="Z21" s="31" t="n">
        <v>4230.893152472544</v>
      </c>
      <c r="AA21" s="31" t="n">
        <v>3604.665478970582</v>
      </c>
    </row>
    <row r="22" ht="16.5" customHeight="1">
      <c r="A22" s="30" t="inlineStr">
        <is>
          <t>Estimated operating stock requirement (wheat and barley only) (c)</t>
        </is>
      </c>
      <c r="B22" s="42" t="inlineStr">
        <is>
          <t>n/a</t>
        </is>
      </c>
      <c r="C22" s="42" t="inlineStr">
        <is>
          <t>n/a</t>
        </is>
      </c>
      <c r="D22" s="42" t="inlineStr">
        <is>
          <t>n/a</t>
        </is>
      </c>
      <c r="E22" s="42" t="inlineStr">
        <is>
          <t>n/a</t>
        </is>
      </c>
      <c r="F22" s="42" t="inlineStr">
        <is>
          <t>n/a</t>
        </is>
      </c>
      <c r="G22" s="42" t="inlineStr">
        <is>
          <t>n/a</t>
        </is>
      </c>
      <c r="H22" s="42" t="inlineStr">
        <is>
          <t>n/a</t>
        </is>
      </c>
      <c r="I22" s="42" t="inlineStr">
        <is>
          <t>n/a</t>
        </is>
      </c>
      <c r="J22" s="42" t="inlineStr">
        <is>
          <t>n/a</t>
        </is>
      </c>
      <c r="K22" s="42" t="inlineStr">
        <is>
          <t>n/a</t>
        </is>
      </c>
      <c r="L22" s="42" t="n">
        <v>2041</v>
      </c>
      <c r="M22" s="42" t="n">
        <v>2063</v>
      </c>
      <c r="N22" s="42" t="n">
        <v>2109</v>
      </c>
      <c r="O22" s="42" t="n">
        <v>2163</v>
      </c>
      <c r="P22" s="42" t="n">
        <v>2163</v>
      </c>
      <c r="Q22" s="42" t="n">
        <v>2250</v>
      </c>
      <c r="R22" s="42" t="n">
        <v>2260</v>
      </c>
      <c r="S22" s="42" t="n">
        <v>2320</v>
      </c>
      <c r="T22" s="42" t="n">
        <v>2370</v>
      </c>
      <c r="U22" s="42" t="n">
        <v>2330</v>
      </c>
      <c r="V22" s="42" t="n">
        <v>2340</v>
      </c>
      <c r="W22" s="42" t="n">
        <v>2280</v>
      </c>
      <c r="X22" s="42" t="n">
        <v>2300</v>
      </c>
      <c r="Y22" s="42" t="n">
        <v>2300</v>
      </c>
      <c r="Z22" s="42" t="n">
        <v>2300</v>
      </c>
      <c r="AA22" s="42" t="n">
        <v>2350</v>
      </c>
    </row>
    <row r="23" ht="16.5" customHeight="1">
      <c r="A23" s="38" t="inlineStr">
        <is>
          <t>Free stock (wheat and barley only) (d)</t>
        </is>
      </c>
      <c r="B23" s="31" t="inlineStr">
        <is>
          <t>n/a</t>
        </is>
      </c>
      <c r="C23" s="31" t="inlineStr">
        <is>
          <t>n/a</t>
        </is>
      </c>
      <c r="D23" s="31" t="inlineStr">
        <is>
          <t>n/a</t>
        </is>
      </c>
      <c r="E23" s="31" t="inlineStr">
        <is>
          <t>n/a</t>
        </is>
      </c>
      <c r="F23" s="31" t="inlineStr">
        <is>
          <t>n/a</t>
        </is>
      </c>
      <c r="G23" s="31" t="inlineStr">
        <is>
          <t>n/a</t>
        </is>
      </c>
      <c r="H23" s="31" t="inlineStr">
        <is>
          <t>n/a</t>
        </is>
      </c>
      <c r="I23" s="31" t="inlineStr">
        <is>
          <t>n/a</t>
        </is>
      </c>
      <c r="J23" s="31" t="inlineStr">
        <is>
          <t>n/a</t>
        </is>
      </c>
      <c r="K23" s="31" t="inlineStr">
        <is>
          <t>n/a</t>
        </is>
      </c>
      <c r="L23" s="31" t="n">
        <v>1430</v>
      </c>
      <c r="M23" s="31" t="n">
        <v>344</v>
      </c>
      <c r="N23" s="31" t="n">
        <v>326</v>
      </c>
      <c r="O23" s="31" t="n">
        <v>1020</v>
      </c>
      <c r="P23" s="31" t="n">
        <v>775.3234239997246</v>
      </c>
      <c r="Q23" s="31" t="n">
        <v>1680.611175761602</v>
      </c>
      <c r="R23" s="31" t="n">
        <v>1894</v>
      </c>
      <c r="S23" s="31" t="n">
        <v>540.5919931830574</v>
      </c>
      <c r="T23" s="31" t="n">
        <v>424.4061477805872</v>
      </c>
      <c r="U23" s="31" t="n">
        <v>672.529431208191</v>
      </c>
      <c r="V23" s="31" t="n">
        <v>1454.635953</v>
      </c>
      <c r="W23" s="31" t="n">
        <v>190.7829322293769</v>
      </c>
      <c r="X23" s="31" t="n">
        <v>451.955302</v>
      </c>
      <c r="Y23" s="31" t="n">
        <v>921.286810612133</v>
      </c>
      <c r="Z23" s="31" t="n">
        <v>1623.121136672513</v>
      </c>
      <c r="AA23" s="31" t="n">
        <v>909.1158782553528</v>
      </c>
    </row>
    <row r="24" ht="15.5" customHeight="1">
      <c r="A24" s="35" t="inlineStr">
        <is>
          <t xml:space="preserve">Surplus available for either export or free stock (all) </t>
        </is>
      </c>
      <c r="B24" s="33" t="inlineStr">
        <is>
          <t>n/a</t>
        </is>
      </c>
      <c r="C24" s="33" t="inlineStr">
        <is>
          <t>n/a</t>
        </is>
      </c>
      <c r="D24" s="33" t="inlineStr">
        <is>
          <t>n/a</t>
        </is>
      </c>
      <c r="E24" s="33" t="inlineStr">
        <is>
          <t>n/a</t>
        </is>
      </c>
      <c r="F24" s="33" t="inlineStr">
        <is>
          <t>n/a</t>
        </is>
      </c>
      <c r="G24" s="33" t="inlineStr">
        <is>
          <t>n/a</t>
        </is>
      </c>
      <c r="H24" s="33" t="inlineStr">
        <is>
          <t>n/a</t>
        </is>
      </c>
      <c r="I24" s="33" t="inlineStr">
        <is>
          <t>n/a</t>
        </is>
      </c>
      <c r="J24" s="33" t="inlineStr">
        <is>
          <t>n/a</t>
        </is>
      </c>
      <c r="K24" s="33" t="inlineStr">
        <is>
          <t>n/a</t>
        </is>
      </c>
      <c r="L24" s="33" t="n">
        <v>5266.389999999999</v>
      </c>
      <c r="M24" s="33" t="n">
        <v>4034.14</v>
      </c>
      <c r="N24" s="33" t="n">
        <v>3932.771</v>
      </c>
      <c r="O24" s="33" t="n">
        <v>2502</v>
      </c>
      <c r="P24" s="33" t="n">
        <v>3036.754325715814</v>
      </c>
      <c r="Q24" s="33" t="n">
        <v>5717.224795886009</v>
      </c>
      <c r="R24" s="33" t="n">
        <v>7160.611175761602</v>
      </c>
      <c r="S24" s="33" t="n">
        <v>3580.802693183059</v>
      </c>
      <c r="T24" s="33" t="n">
        <v>2558.247345745515</v>
      </c>
      <c r="U24" s="33" t="n">
        <v>2553.481094928935</v>
      </c>
      <c r="V24" s="33" t="n">
        <v>5037.862363</v>
      </c>
      <c r="W24" s="33" t="n">
        <v>2233.112605509298</v>
      </c>
      <c r="X24" s="33" t="n">
        <v>2403.936322</v>
      </c>
      <c r="Y24" s="33" t="n">
        <v>4252.717298215036</v>
      </c>
      <c r="Z24" s="33" t="n">
        <v>3252.032972472545</v>
      </c>
      <c r="AA24" s="33" t="n">
        <v>2405.155108970586</v>
      </c>
    </row>
    <row r="25" ht="16.5" customHeight="1">
      <c r="A25" s="44" t="inlineStr">
        <is>
          <t>Residual (f)</t>
        </is>
      </c>
      <c r="B25" s="31" t="inlineStr">
        <is>
          <t>n/a</t>
        </is>
      </c>
      <c r="C25" s="31" t="inlineStr">
        <is>
          <t>n/a</t>
        </is>
      </c>
      <c r="D25" s="31" t="inlineStr">
        <is>
          <t>n/a</t>
        </is>
      </c>
      <c r="E25" s="31" t="inlineStr">
        <is>
          <t>n/a</t>
        </is>
      </c>
      <c r="F25" s="31" t="inlineStr">
        <is>
          <t>n/a</t>
        </is>
      </c>
      <c r="G25" s="31" t="inlineStr">
        <is>
          <t>n/a</t>
        </is>
      </c>
      <c r="H25" s="31" t="inlineStr">
        <is>
          <t>n/a</t>
        </is>
      </c>
      <c r="I25" s="31" t="inlineStr">
        <is>
          <t>n/a</t>
        </is>
      </c>
      <c r="J25" s="31" t="inlineStr">
        <is>
          <t>n/a</t>
        </is>
      </c>
      <c r="K25" s="31" t="inlineStr">
        <is>
          <t>n/a</t>
        </is>
      </c>
      <c r="L25" s="31" t="inlineStr">
        <is>
          <t>n/a</t>
        </is>
      </c>
      <c r="M25" s="31" t="inlineStr">
        <is>
          <t>n/a</t>
        </is>
      </c>
      <c r="N25" s="31" t="inlineStr">
        <is>
          <t>n/a</t>
        </is>
      </c>
      <c r="O25" s="31" t="inlineStr">
        <is>
          <t>n/a</t>
        </is>
      </c>
      <c r="P25" s="31" t="inlineStr">
        <is>
          <t>n/a</t>
        </is>
      </c>
      <c r="Q25" s="31" t="inlineStr">
        <is>
          <t>n/a</t>
        </is>
      </c>
      <c r="R25" s="31" t="inlineStr">
        <is>
          <t>n/a</t>
        </is>
      </c>
      <c r="S25" s="31" t="n">
        <v>392.3766448169424</v>
      </c>
      <c r="T25" s="31" t="n">
        <v>622.391546450802</v>
      </c>
      <c r="U25" s="31" t="n">
        <v>336.2496014094868</v>
      </c>
      <c r="V25" s="31" t="n">
        <v>855.7025631285615</v>
      </c>
      <c r="W25" s="31" t="n">
        <v>-10.10251850929535</v>
      </c>
      <c r="X25" s="31" t="n">
        <v>392.4917388988847</v>
      </c>
      <c r="Y25" s="31" t="n">
        <v>538.550326012185</v>
      </c>
      <c r="Z25" s="31" t="n">
        <v>721.5413555894999</v>
      </c>
      <c r="AA25" s="31" t="n">
        <v>729.8861535008123</v>
      </c>
    </row>
  </sheetData>
  <mergeCells count="1">
    <mergeCell ref="A2:L2"/>
  </mergeCells>
  <conditionalFormatting sqref="B50:AA67">
    <cfRule type="containsText" priority="1" operator="containsText" dxfId="0" text="NO">
      <formula>NOT(ISERROR(SEARCH("NO",B50)))</formula>
    </cfRule>
    <cfRule type="containsText" priority="2" operator="containsText" dxfId="1" text="YES">
      <formula>NOT(ISERROR(SEARCH("YES",B50)))</formula>
    </cfRule>
  </conditionalFormatting>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2" r:id="rId4"/>
    <hyperlink xmlns:r="http://schemas.openxmlformats.org/officeDocument/2006/relationships" ref="A13" r:id="rId5"/>
    <hyperlink xmlns:r="http://schemas.openxmlformats.org/officeDocument/2006/relationships" ref="A19" r:id="rId6"/>
    <hyperlink xmlns:r="http://schemas.openxmlformats.org/officeDocument/2006/relationships" ref="A21" r:id="rId7"/>
    <hyperlink xmlns:r="http://schemas.openxmlformats.org/officeDocument/2006/relationships" ref="A22" r:id="rId8"/>
  </hyperlinks>
  <pageMargins left="0.7" right="0.7" top="0.75" bottom="0.75" header="0.3" footer="0.3"/>
  <pageSetup orientation="portrait" paperSize="9"/>
  <drawing xmlns:r="http://schemas.openxmlformats.org/officeDocument/2006/relationships" r:id="rId9"/>
</worksheet>
</file>

<file path=xl/worksheets/sheet2.xml><?xml version="1.0" encoding="utf-8"?>
<worksheet xmlns="http://schemas.openxmlformats.org/spreadsheetml/2006/main">
  <sheetPr>
    <outlinePr summaryBelow="1" summaryRight="1"/>
    <pageSetUpPr/>
  </sheetPr>
  <dimension ref="A2:AB29"/>
  <sheetViews>
    <sheetView showGridLines="0" zoomScale="90" zoomScaleNormal="90" workbookViewId="0">
      <pane xSplit="1" ySplit="7" topLeftCell="V8" activePane="bottomRight" state="frozen"/>
      <selection pane="topRight" activeCell="B1" sqref="B1"/>
      <selection pane="bottomLeft" activeCell="A8" sqref="A8"/>
      <selection pane="bottomRight" activeCell="Z25" sqref="Z25"/>
    </sheetView>
  </sheetViews>
  <sheetFormatPr baseColWidth="8" defaultColWidth="9.1796875" defaultRowHeight="14"/>
  <cols>
    <col width="41.36328125" customWidth="1" style="1" min="1" max="1"/>
    <col width="11.7265625" customWidth="1" style="1" min="2" max="22"/>
    <col width="9.7265625" bestFit="1" customWidth="1" style="1" min="23" max="23"/>
    <col width="9.7265625" customWidth="1" style="1" min="24" max="24"/>
    <col width="10.7265625" customWidth="1" style="1" min="25" max="25"/>
    <col width="11.6328125" customWidth="1" style="1" min="26" max="26"/>
    <col width="10" customWidth="1" style="1" min="27" max="27"/>
    <col width="9.1796875" customWidth="1" style="1" min="28" max="16384"/>
  </cols>
  <sheetData>
    <row r="1" ht="27" customHeight="1"/>
    <row r="2" ht="20" customFormat="1" customHeight="1" s="8">
      <c r="A2" s="52" t="inlineStr">
        <is>
          <t xml:space="preserve">Historic UK cereal supply and demand estimates - Wheat </t>
        </is>
      </c>
      <c r="B2" s="58" t="n"/>
      <c r="C2" s="58" t="n"/>
      <c r="D2" s="58" t="n"/>
      <c r="E2" s="58" t="n"/>
      <c r="F2" s="58" t="n"/>
      <c r="G2" s="58" t="n"/>
      <c r="H2" s="58" t="n"/>
      <c r="I2" s="58" t="n"/>
      <c r="J2" s="58" t="n"/>
      <c r="K2" s="58" t="n"/>
      <c r="L2" s="58" t="n"/>
      <c r="M2" s="7" t="n"/>
      <c r="N2" s="7" t="n"/>
      <c r="O2" s="7" t="n"/>
      <c r="P2" s="7" t="n"/>
      <c r="Q2" s="7" t="n"/>
      <c r="R2" s="7" t="n"/>
      <c r="S2" s="7" t="n"/>
      <c r="T2" s="7" t="n"/>
      <c r="U2" s="7" t="n"/>
      <c r="V2" s="7" t="n"/>
    </row>
    <row r="3" ht="15" customFormat="1" customHeight="1" s="8">
      <c r="A3" s="9" t="inlineStr">
        <is>
          <t>Source: AHDB, Defra</t>
        </is>
      </c>
      <c r="B3" s="7" t="n"/>
      <c r="C3" s="7" t="n"/>
      <c r="D3" s="7" t="n"/>
      <c r="E3" s="7" t="n"/>
      <c r="F3" s="7" t="n"/>
      <c r="G3" s="7" t="n"/>
      <c r="H3" s="7" t="n"/>
      <c r="I3" s="7" t="n"/>
      <c r="J3" s="7" t="n"/>
      <c r="K3" s="7" t="n"/>
      <c r="L3" s="7" t="n"/>
      <c r="M3" s="7" t="n"/>
      <c r="N3" s="7" t="n"/>
      <c r="O3" s="7" t="n"/>
      <c r="P3" s="7" t="n"/>
      <c r="Q3" s="7" t="n"/>
      <c r="R3" s="7" t="n"/>
      <c r="S3" s="7" t="n"/>
      <c r="T3" s="7" t="n"/>
      <c r="U3" s="7" t="n"/>
      <c r="V3" s="7" t="n"/>
    </row>
    <row r="4" ht="15" customFormat="1" customHeight="1" s="8">
      <c r="A4" s="10" t="inlineStr">
        <is>
          <t>Units: Thousand tonnes (Kt)</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row>
    <row r="5" ht="15" customFormat="1" customHeight="1" s="8">
      <c r="A5" s="12">
        <f>'Total Cereals'!A5</f>
        <v/>
      </c>
      <c r="M5" s="11" t="n"/>
      <c r="N5" s="11" t="n"/>
      <c r="O5" s="11" t="n"/>
      <c r="P5" s="11" t="n"/>
      <c r="Q5" s="11" t="n"/>
      <c r="R5" s="11" t="n"/>
      <c r="S5" s="11" t="n"/>
      <c r="T5" s="11" t="n"/>
      <c r="U5" s="11" t="n"/>
      <c r="V5" s="11" t="n"/>
    </row>
    <row r="6" ht="15" customHeight="1">
      <c r="A6" s="2" t="n"/>
      <c r="B6" s="6" t="n"/>
      <c r="C6" s="6" t="n"/>
      <c r="D6" s="6" t="n"/>
      <c r="E6" s="6" t="n"/>
      <c r="F6" s="6" t="n"/>
      <c r="G6" s="6" t="n"/>
      <c r="H6" s="6" t="n"/>
      <c r="I6" s="6" t="n"/>
      <c r="J6" s="6" t="n"/>
      <c r="K6" s="6" t="n"/>
      <c r="L6" s="6" t="n"/>
      <c r="M6" s="6" t="n"/>
      <c r="N6" s="6" t="n"/>
      <c r="O6" s="6" t="n"/>
      <c r="P6" s="6" t="n"/>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c r="AB7" t="inlineStr">
        <is>
          <t>2025/26</t>
        </is>
      </c>
    </row>
    <row r="8" ht="15" customHeight="1">
      <c r="A8" s="30" t="inlineStr">
        <is>
          <t>Opening Stocks</t>
        </is>
      </c>
      <c r="B8" s="31" t="n">
        <v>1570</v>
      </c>
      <c r="C8" s="31" t="n">
        <v>1555</v>
      </c>
      <c r="D8" s="31" t="n">
        <v>2382</v>
      </c>
      <c r="E8" s="31" t="n">
        <v>1978</v>
      </c>
      <c r="F8" s="31" t="n">
        <v>2036</v>
      </c>
      <c r="G8" s="31" t="n">
        <v>1885</v>
      </c>
      <c r="H8" s="31" t="n">
        <v>2010</v>
      </c>
      <c r="I8" s="31" t="n">
        <v>1798</v>
      </c>
      <c r="J8" s="31" t="n">
        <v>1868</v>
      </c>
      <c r="K8" s="31" t="n">
        <v>1720</v>
      </c>
      <c r="L8" s="31" t="n">
        <v>2756</v>
      </c>
      <c r="M8" s="31" t="n">
        <v>2027</v>
      </c>
      <c r="N8" s="31" t="n">
        <v>1537</v>
      </c>
      <c r="O8" s="31" t="n">
        <v>1495</v>
      </c>
      <c r="P8" s="31" t="n">
        <v>2186</v>
      </c>
      <c r="Q8" s="31" t="n">
        <v>1559.323423999725</v>
      </c>
      <c r="R8" s="31" t="n">
        <v>2433.529345761602</v>
      </c>
      <c r="S8" s="31" t="n">
        <v>2787</v>
      </c>
      <c r="T8" s="31" t="n">
        <v>1755.40231139557</v>
      </c>
      <c r="U8" s="31" t="n">
        <v>1718.183900745908</v>
      </c>
      <c r="V8" s="31" t="n">
        <v>1911.265081536019</v>
      </c>
      <c r="W8" s="31" t="n">
        <v>2438.085953</v>
      </c>
      <c r="X8" s="31" t="n">
        <v>1412.846955603879</v>
      </c>
      <c r="Y8" s="31" t="n">
        <v>1788.028302</v>
      </c>
      <c r="Z8" s="31" t="n">
        <v>1952.835369385601</v>
      </c>
      <c r="AA8" s="31" t="n">
        <v>2760.261687071824</v>
      </c>
    </row>
    <row r="9" ht="15" customHeight="1">
      <c r="A9" s="30" t="inlineStr">
        <is>
          <t>Production</t>
        </is>
      </c>
      <c r="B9" s="31" t="n">
        <v>14866</v>
      </c>
      <c r="C9" s="31" t="n">
        <v>16700</v>
      </c>
      <c r="D9" s="31" t="n">
        <v>11570</v>
      </c>
      <c r="E9" s="31" t="n">
        <v>15973</v>
      </c>
      <c r="F9" s="31" t="n">
        <v>14288</v>
      </c>
      <c r="G9" s="31" t="n">
        <v>15473</v>
      </c>
      <c r="H9" s="31" t="n">
        <v>14863</v>
      </c>
      <c r="I9" s="31" t="n">
        <v>14755</v>
      </c>
      <c r="J9" s="31" t="n">
        <v>13221</v>
      </c>
      <c r="K9" s="31" t="n">
        <v>17227</v>
      </c>
      <c r="L9" s="31" t="n">
        <v>14076</v>
      </c>
      <c r="M9" s="31" t="n">
        <v>14878</v>
      </c>
      <c r="N9" s="31" t="n">
        <v>15257</v>
      </c>
      <c r="O9" s="31" t="n">
        <v>13261</v>
      </c>
      <c r="P9" s="31" t="n">
        <v>11808.31209283751</v>
      </c>
      <c r="Q9" s="31" t="n">
        <v>16363</v>
      </c>
      <c r="R9" s="31" t="n">
        <v>16506</v>
      </c>
      <c r="S9" s="31" t="n">
        <v>14383</v>
      </c>
      <c r="T9" s="31" t="n">
        <v>14836.96330599363</v>
      </c>
      <c r="U9" s="31" t="n">
        <v>13554.84264139864</v>
      </c>
      <c r="V9" s="31" t="n">
        <v>16224.51</v>
      </c>
      <c r="W9" s="31" t="n">
        <v>9658</v>
      </c>
      <c r="X9" s="31" t="n">
        <v>13987.6774733671</v>
      </c>
      <c r="Y9" s="31" t="n">
        <v>15539.6524747162</v>
      </c>
      <c r="Z9" s="31" t="n">
        <v>13979.84778745971</v>
      </c>
      <c r="AA9" s="31" t="n">
        <v>11145.74115168122</v>
      </c>
    </row>
    <row r="10" ht="15" customHeight="1">
      <c r="A10" s="30" t="inlineStr">
        <is>
          <t>Imports</t>
        </is>
      </c>
      <c r="B10" s="31" t="n">
        <v>1244</v>
      </c>
      <c r="C10" s="31" t="n">
        <v>1194</v>
      </c>
      <c r="D10" s="31" t="n">
        <v>1490</v>
      </c>
      <c r="E10" s="31" t="n">
        <v>1107</v>
      </c>
      <c r="F10" s="31" t="n">
        <v>894</v>
      </c>
      <c r="G10" s="31" t="n">
        <v>994</v>
      </c>
      <c r="H10" s="31" t="n">
        <v>1003</v>
      </c>
      <c r="I10" s="31" t="n">
        <v>968</v>
      </c>
      <c r="J10" s="31" t="n">
        <v>1441</v>
      </c>
      <c r="K10" s="31" t="n">
        <v>1305</v>
      </c>
      <c r="L10" s="31" t="n">
        <v>1241</v>
      </c>
      <c r="M10" s="31" t="n">
        <v>1001</v>
      </c>
      <c r="N10" s="31" t="n">
        <v>908</v>
      </c>
      <c r="O10" s="31" t="n">
        <v>2956</v>
      </c>
      <c r="P10" s="31" t="n">
        <v>2191.41563366394</v>
      </c>
      <c r="Q10" s="31" t="n">
        <v>1669</v>
      </c>
      <c r="R10" s="31" t="n">
        <v>1509</v>
      </c>
      <c r="S10" s="31" t="n">
        <v>1854.735279999999</v>
      </c>
      <c r="T10" s="31" t="n">
        <v>1793.49549</v>
      </c>
      <c r="U10" s="31" t="n">
        <v>1858.23909</v>
      </c>
      <c r="V10" s="31" t="n">
        <v>1055.88</v>
      </c>
      <c r="W10" s="31" t="n">
        <v>2431.033</v>
      </c>
      <c r="X10" s="31" t="n">
        <v>1993.817</v>
      </c>
      <c r="Y10" s="31" t="n">
        <v>1360.49976</v>
      </c>
      <c r="Z10" s="31" t="n">
        <v>2436.65519</v>
      </c>
      <c r="AA10" s="31" t="n">
        <v>3067.761650000001</v>
      </c>
    </row>
    <row r="11" ht="15" customHeight="1">
      <c r="A11" s="41" t="inlineStr">
        <is>
          <t>Total Availability</t>
        </is>
      </c>
      <c r="B11" s="42" t="n">
        <v>17680</v>
      </c>
      <c r="C11" s="42" t="n">
        <v>19449</v>
      </c>
      <c r="D11" s="42" t="n">
        <v>15442</v>
      </c>
      <c r="E11" s="42" t="n">
        <v>19058</v>
      </c>
      <c r="F11" s="42" t="n">
        <v>17218</v>
      </c>
      <c r="G11" s="42" t="n">
        <v>18352</v>
      </c>
      <c r="H11" s="42" t="n">
        <v>17876</v>
      </c>
      <c r="I11" s="42" t="n">
        <v>17521</v>
      </c>
      <c r="J11" s="42" t="n">
        <v>16530</v>
      </c>
      <c r="K11" s="42" t="n">
        <v>20252</v>
      </c>
      <c r="L11" s="42" t="n">
        <v>18073</v>
      </c>
      <c r="M11" s="42" t="n">
        <v>17906</v>
      </c>
      <c r="N11" s="42" t="n">
        <v>17702</v>
      </c>
      <c r="O11" s="42" t="n">
        <v>17712</v>
      </c>
      <c r="P11" s="42" t="n">
        <v>16185.72772650145</v>
      </c>
      <c r="Q11" s="42" t="n">
        <v>19591.32342399973</v>
      </c>
      <c r="R11" s="42" t="n">
        <v>20448.5293457616</v>
      </c>
      <c r="S11" s="42" t="n">
        <v>19024.73528</v>
      </c>
      <c r="T11" s="42" t="n">
        <v>18385.8611073892</v>
      </c>
      <c r="U11" s="42" t="n">
        <v>17131.2656321445</v>
      </c>
      <c r="V11" s="42" t="n">
        <v>19191.65508153602</v>
      </c>
      <c r="W11" s="42" t="n">
        <v>14527.118953</v>
      </c>
      <c r="X11" s="42" t="n">
        <v>17394.34142897098</v>
      </c>
      <c r="Y11" s="42" t="n">
        <v>18688.1805367162</v>
      </c>
      <c r="Z11" s="42" t="n">
        <v>18369.33834684531</v>
      </c>
      <c r="AA11" s="42" t="n">
        <v>16973.76448875305</v>
      </c>
    </row>
    <row r="12" ht="18.5" customHeight="1">
      <c r="A12" s="34" t="inlineStr">
        <is>
          <t>Human and Industrial Consumption (a)</t>
        </is>
      </c>
      <c r="B12" s="33" t="n">
        <v>6295</v>
      </c>
      <c r="C12" s="33" t="n">
        <v>6438</v>
      </c>
      <c r="D12" s="33" t="n">
        <v>6382</v>
      </c>
      <c r="E12" s="33" t="n">
        <v>6380</v>
      </c>
      <c r="F12" s="33" t="n">
        <v>6279</v>
      </c>
      <c r="G12" s="33" t="n">
        <v>6298</v>
      </c>
      <c r="H12" s="33" t="n">
        <v>6347</v>
      </c>
      <c r="I12" s="33" t="n">
        <v>6392</v>
      </c>
      <c r="J12" s="33" t="n">
        <v>6778</v>
      </c>
      <c r="K12" s="33" t="n">
        <v>6836</v>
      </c>
      <c r="L12" s="33" t="n">
        <v>6876</v>
      </c>
      <c r="M12" s="33" t="n">
        <v>7201</v>
      </c>
      <c r="N12" s="33" t="n">
        <v>6816</v>
      </c>
      <c r="O12" s="33" t="n">
        <v>7572</v>
      </c>
      <c r="P12" s="33" t="n">
        <v>7460.767485249799</v>
      </c>
      <c r="Q12" s="33" t="n">
        <v>7831.1911682202</v>
      </c>
      <c r="R12" s="33" t="n">
        <v>7360</v>
      </c>
      <c r="S12" s="33" t="n">
        <v>8109.891572</v>
      </c>
      <c r="T12" s="33" t="n">
        <v>7791.886154999999</v>
      </c>
      <c r="U12" s="33" t="n">
        <v>6968.982772000001</v>
      </c>
      <c r="V12" s="33" t="n">
        <v>6931.794927</v>
      </c>
      <c r="W12" s="33" t="n">
        <v>6617.100735999999</v>
      </c>
      <c r="X12" s="33" t="n">
        <v>7155.932559</v>
      </c>
      <c r="Y12" s="33" t="n">
        <v>7326.381592000001</v>
      </c>
      <c r="Z12" s="33" t="n">
        <v>7501.810386999999</v>
      </c>
      <c r="AA12" s="33" t="n">
        <v>7105.848550540346</v>
      </c>
    </row>
    <row r="13" ht="15" customHeight="1">
      <c r="A13" s="32" t="inlineStr">
        <is>
          <t>(of which home grown)</t>
        </is>
      </c>
      <c r="B13" s="33" t="n">
        <v>5301</v>
      </c>
      <c r="C13" s="33" t="n">
        <v>5501</v>
      </c>
      <c r="D13" s="33" t="n">
        <v>5348</v>
      </c>
      <c r="E13" s="33" t="n">
        <v>5495</v>
      </c>
      <c r="F13" s="33" t="n">
        <v>5467</v>
      </c>
      <c r="G13" s="33" t="n">
        <v>5348</v>
      </c>
      <c r="H13" s="33" t="n">
        <v>5425</v>
      </c>
      <c r="I13" s="33" t="n">
        <v>5530</v>
      </c>
      <c r="J13" s="33" t="n">
        <v>5573</v>
      </c>
      <c r="K13" s="33" t="n">
        <v>5627</v>
      </c>
      <c r="L13" s="33" t="n">
        <v>5814</v>
      </c>
      <c r="M13" s="33" t="n">
        <v>6418</v>
      </c>
      <c r="N13" s="33" t="n">
        <v>6135</v>
      </c>
      <c r="O13" s="33" t="n">
        <v>5723</v>
      </c>
      <c r="P13" s="33" t="n">
        <v>5913</v>
      </c>
      <c r="Q13" s="33" t="n">
        <v>6640</v>
      </c>
      <c r="R13" s="33" t="n">
        <v>6416</v>
      </c>
      <c r="S13" s="33" t="n">
        <v>7168.743071999999</v>
      </c>
      <c r="T13" s="33" t="n">
        <v>6764.532614999999</v>
      </c>
      <c r="U13" s="33" t="n">
        <v>5918.158732</v>
      </c>
      <c r="V13" s="33" t="n">
        <v>6168.683227</v>
      </c>
      <c r="W13" s="33" t="n">
        <v>5131.335156</v>
      </c>
      <c r="X13" s="33" t="n">
        <v>6056.157979</v>
      </c>
      <c r="Y13" s="33" t="n">
        <v>6407.423532</v>
      </c>
      <c r="Z13" s="33" t="n">
        <v>6320.211806999999</v>
      </c>
      <c r="AA13" s="33" t="n">
        <v>5483.167010540346</v>
      </c>
    </row>
    <row r="14" ht="15" customHeight="1">
      <c r="A14" s="34" t="inlineStr">
        <is>
          <t>Animal Feed</t>
        </is>
      </c>
      <c r="B14" s="33" t="n">
        <v>6246</v>
      </c>
      <c r="C14" s="33" t="n">
        <v>6894</v>
      </c>
      <c r="D14" s="33" t="n">
        <v>6158</v>
      </c>
      <c r="E14" s="33" t="n">
        <v>6876</v>
      </c>
      <c r="F14" s="33" t="n">
        <v>6491</v>
      </c>
      <c r="G14" s="33" t="n">
        <v>6863</v>
      </c>
      <c r="H14" s="33" t="n">
        <v>7045</v>
      </c>
      <c r="I14" s="33" t="n">
        <v>6785</v>
      </c>
      <c r="J14" s="33" t="n">
        <v>6057</v>
      </c>
      <c r="K14" s="33" t="n">
        <v>6729</v>
      </c>
      <c r="L14" s="33" t="n">
        <v>6383</v>
      </c>
      <c r="M14" s="33" t="n">
        <v>6144</v>
      </c>
      <c r="N14" s="33" t="n">
        <v>6471</v>
      </c>
      <c r="O14" s="33" t="n">
        <v>6847</v>
      </c>
      <c r="P14" s="33" t="n">
        <v>6372.497798264453</v>
      </c>
      <c r="Q14" s="33" t="n">
        <v>6991</v>
      </c>
      <c r="R14" s="33" t="n">
        <v>7094</v>
      </c>
      <c r="S14" s="33" t="n">
        <v>7235.940000000001</v>
      </c>
      <c r="T14" s="33" t="n">
        <v>7514.371999999999</v>
      </c>
      <c r="U14" s="33" t="n">
        <v>7401.827</v>
      </c>
      <c r="V14" s="33" t="n">
        <v>7560.116</v>
      </c>
      <c r="W14" s="33" t="n">
        <v>6115.181</v>
      </c>
      <c r="X14" s="33" t="n">
        <v>7242.431</v>
      </c>
      <c r="Y14" s="33" t="n">
        <v>6905.643502017949</v>
      </c>
      <c r="Z14" s="33" t="n">
        <v>7134.733086868824</v>
      </c>
      <c r="AA14" s="33" t="n">
        <v>6842.371456981808</v>
      </c>
    </row>
    <row r="15" ht="15" customHeight="1">
      <c r="A15" s="32" t="inlineStr">
        <is>
          <t>(of which home grown)</t>
        </is>
      </c>
      <c r="B15" s="33" t="n">
        <v>6044</v>
      </c>
      <c r="C15" s="33" t="n">
        <v>6627</v>
      </c>
      <c r="D15" s="33" t="n">
        <v>5690</v>
      </c>
      <c r="E15" s="33" t="n">
        <v>6678</v>
      </c>
      <c r="F15" s="33" t="n">
        <v>6314</v>
      </c>
      <c r="G15" s="33" t="n">
        <v>6850</v>
      </c>
      <c r="H15" s="33" t="n">
        <v>6960</v>
      </c>
      <c r="I15" s="33" t="n">
        <v>6671</v>
      </c>
      <c r="J15" s="33" t="n">
        <v>5957</v>
      </c>
      <c r="K15" s="33" t="n">
        <v>6595</v>
      </c>
      <c r="L15" s="33" t="n">
        <v>6170</v>
      </c>
      <c r="M15" s="33" t="n">
        <v>5885</v>
      </c>
      <c r="N15" s="33" t="n">
        <v>6255</v>
      </c>
      <c r="O15" s="33" t="n">
        <v>6064</v>
      </c>
      <c r="P15" s="33" t="n">
        <v>5635</v>
      </c>
      <c r="Q15" s="33" t="n">
        <v>6501</v>
      </c>
      <c r="R15" s="33" t="n">
        <v>6444</v>
      </c>
      <c r="S15" s="33" t="n">
        <v>6522.881</v>
      </c>
      <c r="T15" s="33" t="n">
        <v>6792.371999999999</v>
      </c>
      <c r="U15" s="33" t="n">
        <v>6651.827</v>
      </c>
      <c r="V15" s="33" t="n">
        <v>7060.116</v>
      </c>
      <c r="W15" s="33" t="n">
        <v>5365.181</v>
      </c>
      <c r="X15" s="33" t="n">
        <v>6542.431</v>
      </c>
      <c r="Y15" s="33" t="n">
        <v>6485.643502017949</v>
      </c>
      <c r="Z15" s="33" t="n">
        <v>6234.733086868824</v>
      </c>
      <c r="AA15" s="33" t="n">
        <v>5742.371456981808</v>
      </c>
    </row>
    <row r="16" ht="15" customHeight="1">
      <c r="A16" s="35" t="inlineStr">
        <is>
          <t>Seed (b)</t>
        </is>
      </c>
      <c r="B16" s="33" t="n">
        <v>375</v>
      </c>
      <c r="C16" s="33" t="n">
        <v>265</v>
      </c>
      <c r="D16" s="33" t="n">
        <v>298</v>
      </c>
      <c r="E16" s="33" t="n">
        <v>281</v>
      </c>
      <c r="F16" s="33" t="n">
        <v>281</v>
      </c>
      <c r="G16" s="33" t="n">
        <v>280</v>
      </c>
      <c r="H16" s="33" t="n">
        <v>254</v>
      </c>
      <c r="I16" s="33" t="n">
        <v>254</v>
      </c>
      <c r="J16" s="33" t="n">
        <v>311</v>
      </c>
      <c r="K16" s="33" t="n">
        <v>322</v>
      </c>
      <c r="L16" s="33" t="n">
        <v>290</v>
      </c>
      <c r="M16" s="33" t="n">
        <v>295</v>
      </c>
      <c r="N16" s="33" t="n">
        <v>299</v>
      </c>
      <c r="O16" s="33" t="n">
        <v>304</v>
      </c>
      <c r="P16" s="33" t="n">
        <v>292.658267377579</v>
      </c>
      <c r="Q16" s="33" t="n">
        <v>291</v>
      </c>
      <c r="R16" s="33" t="n">
        <v>281</v>
      </c>
      <c r="S16" s="33" t="n">
        <v>278</v>
      </c>
      <c r="T16" s="33" t="n">
        <v>271</v>
      </c>
      <c r="U16" s="33" t="n">
        <v>281</v>
      </c>
      <c r="V16" s="33" t="n">
        <v>215</v>
      </c>
      <c r="W16" s="33" t="n">
        <v>278</v>
      </c>
      <c r="X16" s="33" t="n">
        <v>280</v>
      </c>
      <c r="Y16" s="33" t="n">
        <v>267</v>
      </c>
      <c r="Z16" s="33" t="n">
        <v>237</v>
      </c>
      <c r="AA16" s="33" t="n">
        <v>259</v>
      </c>
    </row>
    <row r="17" ht="15" customHeight="1">
      <c r="A17" s="32" t="inlineStr">
        <is>
          <t>Other</t>
        </is>
      </c>
      <c r="B17" s="33" t="n">
        <v>74</v>
      </c>
      <c r="C17" s="33" t="n">
        <v>84</v>
      </c>
      <c r="D17" s="33" t="n">
        <v>58</v>
      </c>
      <c r="E17" s="33" t="n">
        <v>80</v>
      </c>
      <c r="F17" s="33" t="n">
        <v>71</v>
      </c>
      <c r="G17" s="33" t="n">
        <v>93</v>
      </c>
      <c r="H17" s="33" t="n">
        <v>74</v>
      </c>
      <c r="I17" s="33" t="n">
        <v>74</v>
      </c>
      <c r="J17" s="33" t="n">
        <v>66</v>
      </c>
      <c r="K17" s="33" t="n">
        <v>86</v>
      </c>
      <c r="L17" s="33" t="n">
        <v>70</v>
      </c>
      <c r="M17" s="33" t="n">
        <v>74</v>
      </c>
      <c r="N17" s="33" t="n">
        <v>76</v>
      </c>
      <c r="O17" s="33" t="n">
        <v>66</v>
      </c>
      <c r="P17" s="33" t="n">
        <v>66.04984989380054</v>
      </c>
      <c r="Q17" s="33" t="n">
        <v>88</v>
      </c>
      <c r="R17" s="33" t="n">
        <v>79</v>
      </c>
      <c r="S17" s="33" t="n">
        <v>72</v>
      </c>
      <c r="T17" s="33" t="n">
        <v>74</v>
      </c>
      <c r="U17" s="33" t="n">
        <v>68</v>
      </c>
      <c r="V17" s="33" t="n">
        <v>81</v>
      </c>
      <c r="W17" s="33" t="n">
        <v>48</v>
      </c>
      <c r="X17" s="33" t="n">
        <v>70</v>
      </c>
      <c r="Y17" s="33" t="n">
        <v>70</v>
      </c>
      <c r="Z17" s="33" t="n">
        <v>70</v>
      </c>
      <c r="AA17" s="33" t="n">
        <v>56</v>
      </c>
    </row>
    <row r="18" ht="15" customHeight="1">
      <c r="A18" s="45" t="inlineStr">
        <is>
          <t>Total Domestic Consumption</t>
        </is>
      </c>
      <c r="B18" s="37" t="n">
        <v>12990</v>
      </c>
      <c r="C18" s="37" t="n">
        <v>13681</v>
      </c>
      <c r="D18" s="37" t="n">
        <v>12896</v>
      </c>
      <c r="E18" s="37" t="n">
        <v>13617</v>
      </c>
      <c r="F18" s="37" t="n">
        <v>13122</v>
      </c>
      <c r="G18" s="37" t="n">
        <v>13534</v>
      </c>
      <c r="H18" s="37" t="n">
        <v>13720</v>
      </c>
      <c r="I18" s="37" t="n">
        <v>13505</v>
      </c>
      <c r="J18" s="37" t="n">
        <v>13212</v>
      </c>
      <c r="K18" s="37" t="n">
        <v>13973</v>
      </c>
      <c r="L18" s="37" t="n">
        <v>13619</v>
      </c>
      <c r="M18" s="37" t="n">
        <v>13714</v>
      </c>
      <c r="N18" s="37" t="n">
        <v>13662</v>
      </c>
      <c r="O18" s="37" t="n">
        <v>14789</v>
      </c>
      <c r="P18" s="37" t="n">
        <v>14191.97340078563</v>
      </c>
      <c r="Q18" s="37" t="n">
        <v>15201.1911682202</v>
      </c>
      <c r="R18" s="37" t="n">
        <v>14814</v>
      </c>
      <c r="S18" s="37" t="n">
        <v>15695.831572</v>
      </c>
      <c r="T18" s="37" t="n">
        <v>15651.258155</v>
      </c>
      <c r="U18" s="37" t="n">
        <v>14719.809772</v>
      </c>
      <c r="V18" s="37" t="n">
        <v>14787.910927</v>
      </c>
      <c r="W18" s="37" t="n">
        <v>13058.281736</v>
      </c>
      <c r="X18" s="37" t="n">
        <v>14748.363559</v>
      </c>
      <c r="Y18" s="37" t="n">
        <v>14569.02509401795</v>
      </c>
      <c r="Z18" s="37" t="n">
        <v>14943.54347386882</v>
      </c>
      <c r="AA18" s="37" t="n">
        <v>14263.22000752215</v>
      </c>
      <c r="AB18" t="n">
        <v>14109.68802437194</v>
      </c>
    </row>
    <row r="19" ht="15" customHeight="1">
      <c r="A19" s="41" t="inlineStr">
        <is>
          <t>Balance</t>
        </is>
      </c>
      <c r="B19" s="42" t="n">
        <v>4690</v>
      </c>
      <c r="C19" s="42" t="n">
        <v>5768</v>
      </c>
      <c r="D19" s="42" t="n">
        <v>2546</v>
      </c>
      <c r="E19" s="42" t="n">
        <v>5441</v>
      </c>
      <c r="F19" s="42" t="n">
        <v>4096</v>
      </c>
      <c r="G19" s="42" t="n">
        <v>4818</v>
      </c>
      <c r="H19" s="42" t="n">
        <v>4156</v>
      </c>
      <c r="I19" s="42" t="n">
        <v>4016</v>
      </c>
      <c r="J19" s="42" t="n">
        <v>3318</v>
      </c>
      <c r="K19" s="42" t="n">
        <v>6279</v>
      </c>
      <c r="L19" s="42" t="n">
        <v>4454</v>
      </c>
      <c r="M19" s="42" t="n">
        <v>4192</v>
      </c>
      <c r="N19" s="42" t="n">
        <v>4040</v>
      </c>
      <c r="O19" s="42" t="n">
        <v>2923</v>
      </c>
      <c r="P19" s="42" t="n">
        <v>1993.754325715814</v>
      </c>
      <c r="Q19" s="42" t="n">
        <v>4390.132255779525</v>
      </c>
      <c r="R19" s="42" t="n">
        <v>5634.529345761603</v>
      </c>
      <c r="S19" s="42" t="n">
        <v>3328.903708000002</v>
      </c>
      <c r="T19" s="42" t="n">
        <v>2734.602952389203</v>
      </c>
      <c r="U19" s="42" t="n">
        <v>2411.455860144499</v>
      </c>
      <c r="V19" s="42" t="n">
        <v>4403.74415453602</v>
      </c>
      <c r="W19" s="42" t="n">
        <v>1468.837216999998</v>
      </c>
      <c r="X19" s="42" t="n">
        <v>2645.977869970979</v>
      </c>
      <c r="Y19" s="42" t="n">
        <v>4119.155442698247</v>
      </c>
      <c r="Z19" s="42" t="n">
        <v>3425.79487297649</v>
      </c>
      <c r="AA19" s="42" t="n">
        <v>2710.544481230898</v>
      </c>
    </row>
    <row r="20" ht="15" customHeight="1">
      <c r="A20" s="34" t="inlineStr">
        <is>
          <t>Exports</t>
        </is>
      </c>
      <c r="B20" s="33" t="n">
        <v>3135</v>
      </c>
      <c r="C20" s="33" t="n">
        <v>3390</v>
      </c>
      <c r="D20" s="33" t="n">
        <v>578</v>
      </c>
      <c r="E20" s="33" t="n">
        <v>3405</v>
      </c>
      <c r="F20" s="33" t="n">
        <v>2211</v>
      </c>
      <c r="G20" s="33" t="n">
        <v>2808</v>
      </c>
      <c r="H20" s="33" t="n">
        <v>2358</v>
      </c>
      <c r="I20" s="33" t="n">
        <v>2148</v>
      </c>
      <c r="J20" s="33" t="n">
        <v>1598</v>
      </c>
      <c r="K20" s="33" t="n">
        <v>3523</v>
      </c>
      <c r="L20" s="33" t="n">
        <v>2427</v>
      </c>
      <c r="M20" s="33" t="n">
        <v>2655</v>
      </c>
      <c r="N20" s="33" t="n">
        <v>2545</v>
      </c>
      <c r="O20" s="33" t="n">
        <v>737</v>
      </c>
      <c r="P20" s="33" t="n">
        <v>434.4309017160895</v>
      </c>
      <c r="Q20" s="33" t="n">
        <v>1957</v>
      </c>
      <c r="R20" s="33" t="n">
        <v>2848</v>
      </c>
      <c r="S20" s="33" t="n">
        <v>1437.855570000001</v>
      </c>
      <c r="T20" s="33" t="n">
        <v>448.3791900000002</v>
      </c>
      <c r="U20" s="33" t="n">
        <v>358.3444100000007</v>
      </c>
      <c r="V20" s="33" t="n">
        <v>1204.982</v>
      </c>
      <c r="W20" s="33" t="n">
        <v>209.399</v>
      </c>
      <c r="X20" s="33" t="n">
        <v>511.096</v>
      </c>
      <c r="Y20" s="33" t="n">
        <v>1585.51115</v>
      </c>
      <c r="Z20" s="33" t="n">
        <v>257.89927</v>
      </c>
      <c r="AA20" s="33" t="n">
        <v>199.44968</v>
      </c>
      <c r="AB20" t="n">
        <v>160</v>
      </c>
    </row>
    <row r="21" ht="15" customHeight="1">
      <c r="A21" s="32" t="inlineStr">
        <is>
          <t>Intervention Stocks</t>
        </is>
      </c>
      <c r="B21" s="33" t="n">
        <v>0</v>
      </c>
      <c r="C21" s="33" t="n">
        <v>0</v>
      </c>
      <c r="D21" s="33" t="n">
        <v>1</v>
      </c>
      <c r="E21" s="33" t="n">
        <v>2</v>
      </c>
      <c r="F21" s="33" t="inlineStr">
        <is>
          <t>-</t>
        </is>
      </c>
      <c r="G21" s="33" t="n">
        <v>0</v>
      </c>
      <c r="H21" s="33" t="n">
        <v>0</v>
      </c>
      <c r="I21" s="33" t="n">
        <v>0</v>
      </c>
      <c r="J21" s="33" t="n">
        <v>0</v>
      </c>
      <c r="K21" s="33" t="n">
        <v>0</v>
      </c>
      <c r="L21" s="33" t="n">
        <v>0</v>
      </c>
      <c r="M21" s="33" t="n">
        <v>0</v>
      </c>
      <c r="N21" s="33" t="inlineStr">
        <is>
          <t>-</t>
        </is>
      </c>
      <c r="O21" s="33" t="n">
        <v>0</v>
      </c>
      <c r="P21" s="33" t="n">
        <v>0</v>
      </c>
      <c r="Q21" s="33" t="n">
        <v>0</v>
      </c>
      <c r="R21" s="33" t="n">
        <v>0</v>
      </c>
      <c r="S21" s="33" t="n">
        <v>0</v>
      </c>
      <c r="T21" s="33" t="n">
        <v>0</v>
      </c>
      <c r="U21" s="33" t="n">
        <v>0</v>
      </c>
      <c r="V21" s="33" t="n">
        <v>0</v>
      </c>
      <c r="W21" s="33" t="n">
        <v>0</v>
      </c>
      <c r="X21" s="33" t="n">
        <v>0</v>
      </c>
      <c r="Y21" s="33" t="n">
        <v>0</v>
      </c>
      <c r="Z21" s="33" t="n">
        <v>0</v>
      </c>
      <c r="AA21" s="33" t="n">
        <v>0</v>
      </c>
    </row>
    <row r="22" ht="15" customHeight="1">
      <c r="A22" s="46" t="inlineStr">
        <is>
          <t>Commercial End-Season Stocks</t>
        </is>
      </c>
      <c r="B22" s="42" t="n">
        <v>1555</v>
      </c>
      <c r="C22" s="42" t="n">
        <v>2378</v>
      </c>
      <c r="D22" s="42" t="n">
        <v>1967</v>
      </c>
      <c r="E22" s="42" t="n">
        <v>2034</v>
      </c>
      <c r="F22" s="42" t="n">
        <v>1885</v>
      </c>
      <c r="G22" s="42" t="n">
        <v>2010</v>
      </c>
      <c r="H22" s="42" t="n">
        <v>1798</v>
      </c>
      <c r="I22" s="42" t="n">
        <v>1868</v>
      </c>
      <c r="J22" s="42" t="n">
        <v>1720</v>
      </c>
      <c r="K22" s="42" t="n">
        <v>2756</v>
      </c>
      <c r="L22" s="42" t="n">
        <v>2027</v>
      </c>
      <c r="M22" s="42" t="n">
        <v>1537</v>
      </c>
      <c r="N22" s="42" t="n">
        <v>1495</v>
      </c>
      <c r="O22" s="42" t="n">
        <v>2186</v>
      </c>
      <c r="P22" s="42" t="n">
        <v>1559.323423999725</v>
      </c>
      <c r="Q22" s="42" t="n">
        <v>2433.529345761602</v>
      </c>
      <c r="R22" s="42" t="n">
        <v>2787</v>
      </c>
      <c r="S22" s="42" t="n">
        <v>1755.40231139557</v>
      </c>
      <c r="T22" s="42" t="n">
        <v>1718.183900745908</v>
      </c>
      <c r="U22" s="42" t="n">
        <v>1911.265081536019</v>
      </c>
      <c r="V22" s="42" t="n">
        <v>2438.085953</v>
      </c>
      <c r="W22" s="42" t="n">
        <v>1412.846955603879</v>
      </c>
      <c r="X22" s="42" t="n">
        <v>1788.028302</v>
      </c>
      <c r="Y22" s="42" t="n">
        <v>1952.835369385601</v>
      </c>
      <c r="Z22" s="42" t="n">
        <v>2760.261687071824</v>
      </c>
      <c r="AA22" s="42" t="n">
        <v>1980.199646844191</v>
      </c>
    </row>
    <row r="23" ht="15" customHeight="1">
      <c r="A23" s="30" t="inlineStr">
        <is>
          <t>of which estimated operating stock requirement (c)</t>
        </is>
      </c>
      <c r="B23" s="31" t="inlineStr">
        <is>
          <t>n/a</t>
        </is>
      </c>
      <c r="C23" s="31" t="inlineStr">
        <is>
          <t>n/a</t>
        </is>
      </c>
      <c r="D23" s="31" t="inlineStr">
        <is>
          <t>n/a</t>
        </is>
      </c>
      <c r="E23" s="31" t="inlineStr">
        <is>
          <t>n/a</t>
        </is>
      </c>
      <c r="F23" s="31" t="inlineStr">
        <is>
          <t>n/a</t>
        </is>
      </c>
      <c r="G23" s="31" t="inlineStr">
        <is>
          <t>n/a</t>
        </is>
      </c>
      <c r="H23" s="31" t="inlineStr">
        <is>
          <t>n/a</t>
        </is>
      </c>
      <c r="I23" s="31" t="inlineStr">
        <is>
          <t>n/a</t>
        </is>
      </c>
      <c r="J23" s="31" t="inlineStr">
        <is>
          <t>n/a</t>
        </is>
      </c>
      <c r="K23" s="31" t="inlineStr">
        <is>
          <t>n/a</t>
        </is>
      </c>
      <c r="L23" s="31" t="n">
        <v>1347</v>
      </c>
      <c r="M23" s="31" t="n">
        <v>1362</v>
      </c>
      <c r="N23" s="31" t="n">
        <v>1397</v>
      </c>
      <c r="O23" s="31" t="n">
        <v>1450</v>
      </c>
      <c r="P23" s="31" t="n">
        <v>1450</v>
      </c>
      <c r="Q23" s="31" t="n">
        <v>1500</v>
      </c>
      <c r="R23" s="31" t="n">
        <v>1500</v>
      </c>
      <c r="S23" s="31" t="n">
        <v>1560</v>
      </c>
      <c r="T23" s="31" t="n">
        <v>1600</v>
      </c>
      <c r="U23" s="31" t="n">
        <v>1550</v>
      </c>
      <c r="V23" s="31" t="n">
        <v>1550</v>
      </c>
      <c r="W23" s="31" t="n">
        <v>1500</v>
      </c>
      <c r="X23" s="31" t="n">
        <v>1500</v>
      </c>
      <c r="Y23" s="31" t="n">
        <v>1500</v>
      </c>
      <c r="Z23" s="31" t="n">
        <v>1500</v>
      </c>
      <c r="AA23" s="31" t="n">
        <v>1550</v>
      </c>
    </row>
    <row r="24" ht="15" customHeight="1">
      <c r="A24" s="47" t="inlineStr">
        <is>
          <t>of which free stock (d)</t>
        </is>
      </c>
      <c r="B24" s="31" t="inlineStr">
        <is>
          <t>n/a</t>
        </is>
      </c>
      <c r="C24" s="31" t="inlineStr">
        <is>
          <t>n/a</t>
        </is>
      </c>
      <c r="D24" s="31" t="inlineStr">
        <is>
          <t>n/a</t>
        </is>
      </c>
      <c r="E24" s="31" t="inlineStr">
        <is>
          <t>n/a</t>
        </is>
      </c>
      <c r="F24" s="31" t="inlineStr">
        <is>
          <t>n/a</t>
        </is>
      </c>
      <c r="G24" s="31" t="inlineStr">
        <is>
          <t>n/a</t>
        </is>
      </c>
      <c r="H24" s="31" t="inlineStr">
        <is>
          <t>n/a</t>
        </is>
      </c>
      <c r="I24" s="31" t="inlineStr">
        <is>
          <t>n/a</t>
        </is>
      </c>
      <c r="J24" s="31" t="inlineStr">
        <is>
          <t>n/a</t>
        </is>
      </c>
      <c r="K24" s="31" t="inlineStr">
        <is>
          <t>n/a</t>
        </is>
      </c>
      <c r="L24" s="31" t="n">
        <v>680</v>
      </c>
      <c r="M24" s="31" t="n">
        <v>175</v>
      </c>
      <c r="N24" s="31" t="n">
        <v>98</v>
      </c>
      <c r="O24" s="31" t="n">
        <v>736</v>
      </c>
      <c r="P24" s="31" t="n">
        <v>109.3234239997246</v>
      </c>
      <c r="Q24" s="31" t="n">
        <v>933.5293457616017</v>
      </c>
      <c r="R24" s="31" t="n">
        <v>1287</v>
      </c>
      <c r="S24" s="31" t="n">
        <v>195.40231139557</v>
      </c>
      <c r="T24" s="31" t="n">
        <v>118.1839007459077</v>
      </c>
      <c r="U24" s="31" t="n">
        <v>361.2650815360189</v>
      </c>
      <c r="V24" s="31" t="n">
        <v>888.0859529999998</v>
      </c>
      <c r="W24" s="31" t="n">
        <v>-87.153044396121</v>
      </c>
      <c r="X24" s="31" t="n">
        <v>288.0283019999999</v>
      </c>
      <c r="Y24" s="31" t="n">
        <v>452.8353693856009</v>
      </c>
      <c r="Z24" s="31" t="n">
        <v>1260.261687071824</v>
      </c>
      <c r="AA24" s="31" t="n">
        <v>430.1996468441912</v>
      </c>
      <c r="AB24" t="n">
        <v>418.7277475371561</v>
      </c>
    </row>
    <row r="25" ht="15" customHeight="1">
      <c r="A25" s="32" t="inlineStr">
        <is>
          <t xml:space="preserve">Surplus available for either export or free stock </t>
        </is>
      </c>
      <c r="B25" s="33" t="inlineStr">
        <is>
          <t>n/a</t>
        </is>
      </c>
      <c r="C25" s="33" t="inlineStr">
        <is>
          <t>n/a</t>
        </is>
      </c>
      <c r="D25" s="33" t="inlineStr">
        <is>
          <t>n/a</t>
        </is>
      </c>
      <c r="E25" s="33" t="inlineStr">
        <is>
          <t>n/a</t>
        </is>
      </c>
      <c r="F25" s="33" t="inlineStr">
        <is>
          <t>n/a</t>
        </is>
      </c>
      <c r="G25" s="33" t="inlineStr">
        <is>
          <t>n/a</t>
        </is>
      </c>
      <c r="H25" s="33" t="inlineStr">
        <is>
          <t>n/a</t>
        </is>
      </c>
      <c r="I25" s="33" t="inlineStr">
        <is>
          <t>n/a</t>
        </is>
      </c>
      <c r="J25" s="33" t="inlineStr">
        <is>
          <t>n/a</t>
        </is>
      </c>
      <c r="K25" s="33" t="inlineStr">
        <is>
          <t>n/a</t>
        </is>
      </c>
      <c r="L25" s="33" t="n">
        <v>3107</v>
      </c>
      <c r="M25" s="33" t="n">
        <v>2830</v>
      </c>
      <c r="N25" s="33" t="n">
        <v>2643</v>
      </c>
      <c r="O25" s="33" t="n">
        <v>1473</v>
      </c>
      <c r="P25" s="33" t="n">
        <v>543.754325715814</v>
      </c>
      <c r="Q25" s="33" t="n">
        <v>2890.132255779525</v>
      </c>
      <c r="R25" s="33" t="n">
        <v>4134.529345761603</v>
      </c>
      <c r="S25" s="33" t="n">
        <v>1633.257881395571</v>
      </c>
      <c r="T25" s="33" t="n">
        <v>566.563090745908</v>
      </c>
      <c r="U25" s="33" t="n">
        <v>719.6094915360195</v>
      </c>
      <c r="V25" s="33" t="n">
        <v>2093.024963000001</v>
      </c>
      <c r="W25" s="33" t="n"/>
      <c r="X25" s="33" t="n">
        <v>799.1243019999999</v>
      </c>
      <c r="Y25" s="33" t="n">
        <v>2038.346519385601</v>
      </c>
      <c r="Z25" s="33" t="n">
        <v>1518.160957071824</v>
      </c>
      <c r="AA25" s="33" t="n">
        <v>629.649326844195</v>
      </c>
    </row>
    <row r="26" ht="15" customHeight="1">
      <c r="A26" s="32" t="inlineStr">
        <is>
          <t>2020/21 operating stock deficit **</t>
        </is>
      </c>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c r="V26" s="33" t="n"/>
      <c r="W26" s="33" t="n">
        <v>-87.153044396121</v>
      </c>
      <c r="X26" s="33" t="n"/>
      <c r="Y26" s="33" t="n"/>
      <c r="Z26" s="33" t="n"/>
      <c r="AA26" s="33" t="n"/>
    </row>
    <row r="27" ht="15" customHeight="1">
      <c r="A27" s="47" t="inlineStr">
        <is>
          <t>Residual (f)</t>
        </is>
      </c>
      <c r="B27" s="31" t="inlineStr">
        <is>
          <t>n/a</t>
        </is>
      </c>
      <c r="C27" s="31" t="inlineStr">
        <is>
          <t>n/a</t>
        </is>
      </c>
      <c r="D27" s="31" t="inlineStr">
        <is>
          <t>n/a</t>
        </is>
      </c>
      <c r="E27" s="31" t="inlineStr">
        <is>
          <t>n/a</t>
        </is>
      </c>
      <c r="F27" s="31" t="inlineStr">
        <is>
          <t>n/a</t>
        </is>
      </c>
      <c r="G27" s="31" t="inlineStr">
        <is>
          <t>n/a</t>
        </is>
      </c>
      <c r="H27" s="31" t="inlineStr">
        <is>
          <t>n/a</t>
        </is>
      </c>
      <c r="I27" s="31" t="inlineStr">
        <is>
          <t>n/a</t>
        </is>
      </c>
      <c r="J27" s="31" t="inlineStr">
        <is>
          <t>n/a</t>
        </is>
      </c>
      <c r="K27" s="31" t="inlineStr">
        <is>
          <t>n/a</t>
        </is>
      </c>
      <c r="L27" s="31" t="inlineStr">
        <is>
          <t>n/a</t>
        </is>
      </c>
      <c r="M27" s="31" t="inlineStr">
        <is>
          <t>n/a</t>
        </is>
      </c>
      <c r="N27" s="31" t="inlineStr">
        <is>
          <t>n/a</t>
        </is>
      </c>
      <c r="O27" s="31" t="inlineStr">
        <is>
          <t>n/a</t>
        </is>
      </c>
      <c r="P27" s="31" t="inlineStr">
        <is>
          <t>n/a</t>
        </is>
      </c>
      <c r="Q27" s="31" t="inlineStr">
        <is>
          <t>n/a</t>
        </is>
      </c>
      <c r="R27" s="31" t="inlineStr">
        <is>
          <t>n/a</t>
        </is>
      </c>
      <c r="S27" s="31" t="n">
        <v>135.645826604431</v>
      </c>
      <c r="T27" s="31" t="n">
        <v>568.0398616432951</v>
      </c>
      <c r="U27" s="31" t="n">
        <v>141.8463686084792</v>
      </c>
      <c r="V27" s="31" t="n">
        <v>760.67620153602</v>
      </c>
      <c r="W27" s="31" t="n">
        <v>-153.4087386038805</v>
      </c>
      <c r="X27" s="31" t="n">
        <v>346.8535679709787</v>
      </c>
      <c r="Y27" s="31" t="n">
        <v>580.8089233126464</v>
      </c>
      <c r="Z27" s="31" t="n">
        <v>407.6339159046661</v>
      </c>
      <c r="AA27" s="31" t="n">
        <v>530.8951543867029</v>
      </c>
    </row>
    <row r="28">
      <c r="A28" s="3"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ht="14.5" customHeight="1">
      <c r="A29" s="2" t="n"/>
      <c r="B29" s="5" t="n"/>
    </row>
  </sheetData>
  <mergeCells count="1">
    <mergeCell ref="A2:L2"/>
  </mergeCells>
  <conditionalFormatting sqref="B20:AA20">
    <cfRule type="cellIs" priority="1" operator="lessThan" dxfId="0">
      <formula>175</formula>
    </cfRule>
  </conditionalFormatting>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2" r:id="rId4"/>
    <hyperlink xmlns:r="http://schemas.openxmlformats.org/officeDocument/2006/relationships" ref="A14" r:id="rId5"/>
    <hyperlink xmlns:r="http://schemas.openxmlformats.org/officeDocument/2006/relationships" ref="A20" r:id="rId6"/>
    <hyperlink xmlns:r="http://schemas.openxmlformats.org/officeDocument/2006/relationships" ref="A22" r:id="rId7"/>
    <hyperlink xmlns:r="http://schemas.openxmlformats.org/officeDocument/2006/relationships" ref="A23" r:id="rId8"/>
  </hyperlinks>
  <pageMargins left="0.7" right="0.7" top="0.75" bottom="0.75" header="0.3" footer="0.3"/>
  <pageSetup orientation="portrait" paperSize="9"/>
  <drawing xmlns:r="http://schemas.openxmlformats.org/officeDocument/2006/relationships" r:id="rId9"/>
</worksheet>
</file>

<file path=xl/worksheets/sheet3.xml><?xml version="1.0" encoding="utf-8"?>
<worksheet xmlns="http://schemas.openxmlformats.org/spreadsheetml/2006/main">
  <sheetPr>
    <outlinePr summaryBelow="1" summaryRight="1"/>
    <pageSetUpPr/>
  </sheetPr>
  <dimension ref="A2:AB27"/>
  <sheetViews>
    <sheetView showGridLines="0" zoomScale="80" zoomScaleNormal="80" workbookViewId="0">
      <pane xSplit="1" ySplit="7" topLeftCell="B8" activePane="bottomRight" state="frozen"/>
      <selection pane="topRight" activeCell="B1" sqref="B1"/>
      <selection pane="bottomLeft" activeCell="A8" sqref="A8"/>
      <selection pane="bottomRight" activeCell="A1" sqref="A1"/>
    </sheetView>
  </sheetViews>
  <sheetFormatPr baseColWidth="8" defaultColWidth="9.1796875" defaultRowHeight="14"/>
  <cols>
    <col width="41.1796875" customWidth="1" style="1" min="1" max="1"/>
    <col width="11.7265625" customWidth="1" style="1" min="2" max="28"/>
    <col width="9.1796875" customWidth="1" style="1" min="29" max="16384"/>
  </cols>
  <sheetData>
    <row r="1" ht="27" customHeight="1"/>
    <row r="2" ht="20" customHeight="1">
      <c r="A2" s="52" t="inlineStr">
        <is>
          <t>Historic UK cereal supply and demand estimates - Barley</t>
        </is>
      </c>
      <c r="B2" s="58" t="n"/>
      <c r="C2" s="58" t="n"/>
      <c r="D2" s="58" t="n"/>
      <c r="E2" s="58" t="n"/>
      <c r="F2" s="58" t="n"/>
      <c r="G2" s="58" t="n"/>
      <c r="H2" s="58" t="n"/>
      <c r="I2" s="58" t="n"/>
      <c r="J2" s="58" t="n"/>
      <c r="K2" s="58" t="n"/>
      <c r="L2" s="58" t="n"/>
    </row>
    <row r="3" ht="15.5" customHeight="1">
      <c r="A3" s="9" t="inlineStr">
        <is>
          <t>Source: AHDB, Defra</t>
        </is>
      </c>
    </row>
    <row r="4" ht="15.5" customHeight="1">
      <c r="A4" s="10" t="inlineStr">
        <is>
          <t>Units: Thousand tonnes (Kt)</t>
        </is>
      </c>
    </row>
    <row r="5" ht="15.5" customHeight="1">
      <c r="A5" s="12">
        <f>'Total Cereals'!A5</f>
        <v/>
      </c>
    </row>
    <row r="6" ht="14.5" customHeight="1">
      <c r="A6" s="2" t="n"/>
      <c r="B6" s="6" t="n"/>
      <c r="C6" s="6" t="n"/>
      <c r="D6" s="6" t="n"/>
      <c r="E6" s="6" t="n"/>
      <c r="F6" s="6" t="n"/>
      <c r="G6" s="6" t="n"/>
      <c r="H6" s="6" t="n"/>
      <c r="I6" s="6" t="n"/>
      <c r="J6" s="6" t="n"/>
      <c r="K6" s="6" t="n"/>
      <c r="L6" s="6" t="n"/>
      <c r="M6" s="6" t="n"/>
      <c r="N6" s="6" t="n"/>
      <c r="O6" s="6" t="n"/>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c r="AB7" t="inlineStr">
        <is>
          <t>2025/26</t>
        </is>
      </c>
    </row>
    <row r="8" ht="15" customHeight="1">
      <c r="A8" s="30" t="inlineStr">
        <is>
          <t>Opening Stocks</t>
        </is>
      </c>
      <c r="B8" s="31" t="n">
        <v>1584</v>
      </c>
      <c r="C8" s="31" t="n">
        <v>1279</v>
      </c>
      <c r="D8" s="31" t="n">
        <v>1122</v>
      </c>
      <c r="E8" s="31" t="n">
        <v>1283</v>
      </c>
      <c r="F8" s="31" t="n">
        <v>950</v>
      </c>
      <c r="G8" s="31" t="n">
        <v>873</v>
      </c>
      <c r="H8" s="31" t="n">
        <v>932</v>
      </c>
      <c r="I8" s="31" t="n">
        <v>887</v>
      </c>
      <c r="J8" s="31" t="n">
        <v>779.0000000000001</v>
      </c>
      <c r="K8" s="31" t="n">
        <v>760.1</v>
      </c>
      <c r="L8" s="31" t="n">
        <v>1203.9</v>
      </c>
      <c r="M8" s="31" t="n">
        <v>1598.5</v>
      </c>
      <c r="N8" s="31" t="n">
        <v>870</v>
      </c>
      <c r="O8" s="31" t="n">
        <v>940</v>
      </c>
      <c r="P8" s="31" t="n">
        <v>997</v>
      </c>
      <c r="Q8" s="31" t="n">
        <v>1379</v>
      </c>
      <c r="R8" s="31" t="n">
        <v>1497.08183</v>
      </c>
      <c r="S8" s="31" t="n">
        <v>1367</v>
      </c>
      <c r="T8" s="31" t="n">
        <v>1105.189681787487</v>
      </c>
      <c r="U8" s="31" t="n">
        <v>1076.222247034679</v>
      </c>
      <c r="V8" s="31" t="n">
        <v>1091.264349672172</v>
      </c>
      <c r="W8" s="31" t="n">
        <v>1356.55</v>
      </c>
      <c r="X8" s="31" t="n">
        <v>1057.935976625498</v>
      </c>
      <c r="Y8" s="31" t="n">
        <v>963.927</v>
      </c>
      <c r="Z8" s="31" t="n">
        <v>1268.451441226532</v>
      </c>
      <c r="AA8" s="31" t="n">
        <v>1162.859449600689</v>
      </c>
    </row>
    <row r="9" ht="15" customHeight="1">
      <c r="A9" s="30" t="inlineStr">
        <is>
          <t>Production</t>
        </is>
      </c>
      <c r="B9" s="31" t="n">
        <v>6581</v>
      </c>
      <c r="C9" s="31" t="n">
        <v>6490</v>
      </c>
      <c r="D9" s="31" t="n">
        <v>6700</v>
      </c>
      <c r="E9" s="31" t="n">
        <v>6128</v>
      </c>
      <c r="F9" s="31" t="n">
        <v>6370</v>
      </c>
      <c r="G9" s="31" t="n">
        <v>5815</v>
      </c>
      <c r="H9" s="31" t="n">
        <v>5495</v>
      </c>
      <c r="I9" s="31" t="n">
        <v>5239</v>
      </c>
      <c r="J9" s="31" t="n">
        <v>5079</v>
      </c>
      <c r="K9" s="31" t="n">
        <v>6144</v>
      </c>
      <c r="L9" s="31" t="n">
        <v>6668</v>
      </c>
      <c r="M9" s="31" t="n">
        <v>5252</v>
      </c>
      <c r="N9" s="31" t="n">
        <v>5494</v>
      </c>
      <c r="O9" s="31" t="n">
        <v>5522</v>
      </c>
      <c r="P9" s="31" t="n">
        <v>7092</v>
      </c>
      <c r="Q9" s="31" t="n">
        <v>6911</v>
      </c>
      <c r="R9" s="31" t="n">
        <v>7370</v>
      </c>
      <c r="S9" s="31" t="n">
        <v>6655</v>
      </c>
      <c r="T9" s="31" t="n">
        <v>7168.617040054701</v>
      </c>
      <c r="U9" s="31" t="n">
        <v>6510.012723144248</v>
      </c>
      <c r="V9" s="31" t="n">
        <v>8048.149</v>
      </c>
      <c r="W9" s="31" t="n">
        <v>8117</v>
      </c>
      <c r="X9" s="31" t="n">
        <v>6961.27263015145</v>
      </c>
      <c r="Y9" s="31" t="n">
        <v>7385.09163821154</v>
      </c>
      <c r="Z9" s="31" t="n">
        <v>6963.392792017751</v>
      </c>
      <c r="AA9" s="31" t="n">
        <v>7090.831664209987</v>
      </c>
    </row>
    <row r="10" ht="15" customHeight="1">
      <c r="A10" s="30" t="inlineStr">
        <is>
          <t>Imports</t>
        </is>
      </c>
      <c r="B10" s="31" t="n">
        <v>88</v>
      </c>
      <c r="C10" s="31" t="n">
        <v>75</v>
      </c>
      <c r="D10" s="31" t="n">
        <v>105</v>
      </c>
      <c r="E10" s="31" t="n">
        <v>64</v>
      </c>
      <c r="F10" s="31" t="n">
        <v>66</v>
      </c>
      <c r="G10" s="31" t="n">
        <v>80</v>
      </c>
      <c r="H10" s="31" t="n">
        <v>76</v>
      </c>
      <c r="I10" s="31" t="n">
        <v>110</v>
      </c>
      <c r="J10" s="31" t="n">
        <v>105</v>
      </c>
      <c r="K10" s="31" t="n">
        <v>142</v>
      </c>
      <c r="L10" s="31" t="n">
        <v>86</v>
      </c>
      <c r="M10" s="31" t="n">
        <v>125</v>
      </c>
      <c r="N10" s="31" t="n">
        <v>156</v>
      </c>
      <c r="O10" s="31" t="n">
        <v>235</v>
      </c>
      <c r="P10" s="31" t="n">
        <v>100</v>
      </c>
      <c r="Q10" s="31" t="n">
        <v>139</v>
      </c>
      <c r="R10" s="31" t="n">
        <v>159</v>
      </c>
      <c r="S10" s="31" t="n">
        <v>105.69779</v>
      </c>
      <c r="T10" s="31" t="n">
        <v>104.77132</v>
      </c>
      <c r="U10" s="31" t="n">
        <v>70.363</v>
      </c>
      <c r="V10" s="31" t="n">
        <v>70.36465000000007</v>
      </c>
      <c r="W10" s="31" t="n">
        <v>88.53889999999997</v>
      </c>
      <c r="X10" s="31" t="n">
        <v>89.11</v>
      </c>
      <c r="Y10" s="31" t="n">
        <v>88.23192</v>
      </c>
      <c r="Z10" s="31" t="n">
        <v>201.32888</v>
      </c>
      <c r="AA10" s="31" t="n">
        <v>232.91996</v>
      </c>
    </row>
    <row r="11" ht="15" customHeight="1">
      <c r="A11" s="41" t="inlineStr">
        <is>
          <t>Total Availability</t>
        </is>
      </c>
      <c r="B11" s="42" t="n">
        <v>8253</v>
      </c>
      <c r="C11" s="42" t="n">
        <v>7844</v>
      </c>
      <c r="D11" s="42" t="n">
        <v>7927</v>
      </c>
      <c r="E11" s="42" t="n">
        <v>7475</v>
      </c>
      <c r="F11" s="42" t="n">
        <v>7386</v>
      </c>
      <c r="G11" s="42" t="n">
        <v>6768</v>
      </c>
      <c r="H11" s="42" t="n">
        <v>6503</v>
      </c>
      <c r="I11" s="42" t="n">
        <v>6236</v>
      </c>
      <c r="J11" s="42" t="n">
        <v>5963</v>
      </c>
      <c r="K11" s="42" t="n">
        <v>7046.1</v>
      </c>
      <c r="L11" s="42" t="n">
        <v>7957.9</v>
      </c>
      <c r="M11" s="42" t="n">
        <v>6975.5</v>
      </c>
      <c r="N11" s="42" t="n">
        <v>6520</v>
      </c>
      <c r="O11" s="42" t="n">
        <v>6697</v>
      </c>
      <c r="P11" s="42" t="n">
        <v>8189</v>
      </c>
      <c r="Q11" s="42" t="n">
        <v>8429</v>
      </c>
      <c r="R11" s="42" t="n">
        <v>9026.081829999999</v>
      </c>
      <c r="S11" s="42" t="n">
        <v>8127.69779</v>
      </c>
      <c r="T11" s="42" t="n">
        <v>8378.578041842187</v>
      </c>
      <c r="U11" s="42" t="n">
        <v>7656.597970178927</v>
      </c>
      <c r="V11" s="42" t="n">
        <v>9209.777999672173</v>
      </c>
      <c r="W11" s="42" t="n">
        <v>9562.088899999999</v>
      </c>
      <c r="X11" s="42" t="n">
        <v>8108.318606776948</v>
      </c>
      <c r="Y11" s="42" t="n">
        <v>8437.250558211541</v>
      </c>
      <c r="Z11" s="42" t="n">
        <v>8433.173113244282</v>
      </c>
      <c r="AA11" s="42" t="n">
        <v>8486.611073810674</v>
      </c>
    </row>
    <row r="12" ht="15" customHeight="1">
      <c r="A12" s="34" t="inlineStr">
        <is>
          <t>Human and Industrial Consumption</t>
        </is>
      </c>
      <c r="B12" s="33" t="n">
        <v>1933</v>
      </c>
      <c r="C12" s="33" t="n">
        <v>1955</v>
      </c>
      <c r="D12" s="33" t="n">
        <v>1971</v>
      </c>
      <c r="E12" s="33" t="n">
        <v>1962</v>
      </c>
      <c r="F12" s="33" t="n">
        <v>1935</v>
      </c>
      <c r="G12" s="33" t="n">
        <v>1781</v>
      </c>
      <c r="H12" s="33" t="n">
        <v>1714</v>
      </c>
      <c r="I12" s="33" t="n">
        <v>1715</v>
      </c>
      <c r="J12" s="33" t="n">
        <v>1754</v>
      </c>
      <c r="K12" s="33" t="n">
        <v>1769</v>
      </c>
      <c r="L12" s="33" t="n">
        <v>1605</v>
      </c>
      <c r="M12" s="33" t="n">
        <v>1744</v>
      </c>
      <c r="N12" s="33" t="n">
        <v>1820</v>
      </c>
      <c r="O12" s="33" t="n">
        <v>1844</v>
      </c>
      <c r="P12" s="33" t="n">
        <v>1960</v>
      </c>
      <c r="Q12" s="33" t="n">
        <v>1949</v>
      </c>
      <c r="R12" s="33" t="n">
        <v>1833</v>
      </c>
      <c r="S12" s="33" t="n">
        <v>1862.72502</v>
      </c>
      <c r="T12" s="33" t="n">
        <v>1881.40608</v>
      </c>
      <c r="U12" s="33" t="n">
        <v>1900.72718</v>
      </c>
      <c r="V12" s="33" t="n">
        <v>1778.08602</v>
      </c>
      <c r="W12" s="33" t="n">
        <v>1721.95052</v>
      </c>
      <c r="X12" s="33" t="n">
        <v>1885.30398</v>
      </c>
      <c r="Y12" s="33" t="n">
        <v>1983.00552</v>
      </c>
      <c r="Z12" s="33" t="n">
        <v>1909.82652</v>
      </c>
      <c r="AA12" s="33" t="n">
        <v>1797.104</v>
      </c>
    </row>
    <row r="13" ht="15" customHeight="1">
      <c r="A13" s="32" t="inlineStr">
        <is>
          <t>(of which home grown)</t>
        </is>
      </c>
      <c r="B13" s="33" t="n">
        <v>1895</v>
      </c>
      <c r="C13" s="33" t="n">
        <v>1941</v>
      </c>
      <c r="D13" s="33" t="n">
        <v>1961</v>
      </c>
      <c r="E13" s="33" t="inlineStr">
        <is>
          <t>n/a</t>
        </is>
      </c>
      <c r="F13" s="33" t="inlineStr">
        <is>
          <t>n/a</t>
        </is>
      </c>
      <c r="G13" s="33" t="inlineStr">
        <is>
          <t>n/a</t>
        </is>
      </c>
      <c r="H13" s="33" t="inlineStr">
        <is>
          <t>n/a</t>
        </is>
      </c>
      <c r="I13" s="33" t="inlineStr">
        <is>
          <t>n/a</t>
        </is>
      </c>
      <c r="J13" s="33" t="inlineStr">
        <is>
          <t>n/a</t>
        </is>
      </c>
      <c r="K13" s="33" t="inlineStr">
        <is>
          <t>n/a</t>
        </is>
      </c>
      <c r="L13" s="33" t="inlineStr">
        <is>
          <t>n/a</t>
        </is>
      </c>
      <c r="M13" s="33" t="inlineStr">
        <is>
          <t>n/a</t>
        </is>
      </c>
      <c r="N13" s="33" t="inlineStr">
        <is>
          <t>n/a</t>
        </is>
      </c>
      <c r="O13" s="33" t="inlineStr">
        <is>
          <t>n/a</t>
        </is>
      </c>
      <c r="P13" s="33" t="inlineStr">
        <is>
          <t>n/a</t>
        </is>
      </c>
      <c r="Q13" s="33" t="inlineStr">
        <is>
          <t>n/a</t>
        </is>
      </c>
      <c r="R13" s="33" t="inlineStr">
        <is>
          <t>n/a</t>
        </is>
      </c>
      <c r="S13" s="33" t="inlineStr">
        <is>
          <t>n/a</t>
        </is>
      </c>
      <c r="T13" s="33" t="inlineStr">
        <is>
          <t>n/a</t>
        </is>
      </c>
      <c r="U13" s="33" t="inlineStr">
        <is>
          <t>n/a</t>
        </is>
      </c>
      <c r="V13" s="33" t="inlineStr">
        <is>
          <t>n/a</t>
        </is>
      </c>
      <c r="W13" s="33" t="inlineStr">
        <is>
          <t>n/a</t>
        </is>
      </c>
      <c r="X13" s="33" t="inlineStr">
        <is>
          <t>n/a</t>
        </is>
      </c>
      <c r="Y13" s="33" t="inlineStr">
        <is>
          <t>n/a</t>
        </is>
      </c>
      <c r="Z13" s="33" t="inlineStr">
        <is>
          <t>n/a</t>
        </is>
      </c>
      <c r="AA13" s="33" t="inlineStr">
        <is>
          <t>n/a</t>
        </is>
      </c>
    </row>
    <row r="14" ht="15" customHeight="1">
      <c r="A14" s="34" t="inlineStr">
        <is>
          <t>Animal Feed</t>
        </is>
      </c>
      <c r="B14" s="33" t="n">
        <v>3149</v>
      </c>
      <c r="C14" s="33" t="n">
        <v>3289</v>
      </c>
      <c r="D14" s="33" t="n">
        <v>3854</v>
      </c>
      <c r="E14" s="33" t="n">
        <v>3267</v>
      </c>
      <c r="F14" s="33" t="n">
        <v>3494</v>
      </c>
      <c r="G14" s="33" t="n">
        <v>3136</v>
      </c>
      <c r="H14" s="33" t="n">
        <v>3094</v>
      </c>
      <c r="I14" s="33" t="n">
        <v>3051</v>
      </c>
      <c r="J14" s="33" t="n">
        <v>2865</v>
      </c>
      <c r="K14" s="33" t="n">
        <v>3070</v>
      </c>
      <c r="L14" s="33" t="n">
        <v>3516</v>
      </c>
      <c r="M14" s="33" t="n">
        <v>3419</v>
      </c>
      <c r="N14" s="33" t="n">
        <v>2779</v>
      </c>
      <c r="O14" s="33" t="n">
        <v>3263</v>
      </c>
      <c r="P14" s="33" t="n">
        <v>3495</v>
      </c>
      <c r="Q14" s="33" t="n">
        <v>3276</v>
      </c>
      <c r="R14" s="33" t="n">
        <v>3613</v>
      </c>
      <c r="S14" s="33" t="n">
        <v>3654.828</v>
      </c>
      <c r="T14" s="33" t="n">
        <v>4046.173</v>
      </c>
      <c r="U14" s="33" t="n">
        <v>3581.824</v>
      </c>
      <c r="V14" s="33" t="n">
        <v>4143.543</v>
      </c>
      <c r="W14" s="33" t="n">
        <v>5311.811</v>
      </c>
      <c r="X14" s="33" t="n">
        <v>4236.889</v>
      </c>
      <c r="Y14" s="33" t="n">
        <v>3940.881212058264</v>
      </c>
      <c r="Z14" s="33" t="n">
        <v>4185.75684148708</v>
      </c>
      <c r="AA14" s="33" t="n">
        <v>4500.316983350134</v>
      </c>
    </row>
    <row r="15" ht="15" customHeight="1">
      <c r="A15" s="32" t="inlineStr">
        <is>
          <t>(of which home grown)</t>
        </is>
      </c>
      <c r="B15" s="33" t="n">
        <v>3092</v>
      </c>
      <c r="C15" s="33" t="n">
        <v>3232</v>
      </c>
      <c r="D15" s="33" t="n">
        <v>3761</v>
      </c>
      <c r="E15" s="33" t="inlineStr">
        <is>
          <t>n/a</t>
        </is>
      </c>
      <c r="F15" s="33" t="inlineStr">
        <is>
          <t>n/a</t>
        </is>
      </c>
      <c r="G15" s="33" t="inlineStr">
        <is>
          <t>n/a</t>
        </is>
      </c>
      <c r="H15" s="33" t="inlineStr">
        <is>
          <t>n/a</t>
        </is>
      </c>
      <c r="I15" s="33" t="inlineStr">
        <is>
          <t>n/a</t>
        </is>
      </c>
      <c r="J15" s="33" t="inlineStr">
        <is>
          <t>n/a</t>
        </is>
      </c>
      <c r="K15" s="33" t="inlineStr">
        <is>
          <t>n/a</t>
        </is>
      </c>
      <c r="L15" s="33" t="inlineStr">
        <is>
          <t>n/a</t>
        </is>
      </c>
      <c r="M15" s="33" t="inlineStr">
        <is>
          <t>n/a</t>
        </is>
      </c>
      <c r="N15" s="33" t="inlineStr">
        <is>
          <t>n/a</t>
        </is>
      </c>
      <c r="O15" s="33" t="inlineStr">
        <is>
          <t>n/a</t>
        </is>
      </c>
      <c r="P15" s="33" t="inlineStr">
        <is>
          <t>n/a</t>
        </is>
      </c>
      <c r="Q15" s="33" t="inlineStr">
        <is>
          <t>n/a</t>
        </is>
      </c>
      <c r="R15" s="33" t="inlineStr">
        <is>
          <t>n/a</t>
        </is>
      </c>
      <c r="S15" s="33" t="inlineStr">
        <is>
          <t>n/a</t>
        </is>
      </c>
      <c r="T15" s="33" t="inlineStr">
        <is>
          <t>n/a</t>
        </is>
      </c>
      <c r="U15" s="33" t="inlineStr">
        <is>
          <t>n/a</t>
        </is>
      </c>
      <c r="V15" s="33" t="inlineStr">
        <is>
          <t>n/a</t>
        </is>
      </c>
      <c r="W15" s="33" t="inlineStr">
        <is>
          <t>n/a</t>
        </is>
      </c>
      <c r="X15" s="33" t="inlineStr">
        <is>
          <t>n/a</t>
        </is>
      </c>
      <c r="Y15" s="33" t="inlineStr">
        <is>
          <t>n/a</t>
        </is>
      </c>
      <c r="Z15" s="33" t="inlineStr">
        <is>
          <t>n/a</t>
        </is>
      </c>
      <c r="AA15" s="33" t="inlineStr">
        <is>
          <t>n/a</t>
        </is>
      </c>
    </row>
    <row r="16" ht="15" customHeight="1">
      <c r="A16" s="35" t="inlineStr">
        <is>
          <t>Seed (b)</t>
        </is>
      </c>
      <c r="B16" s="33" t="n">
        <v>192</v>
      </c>
      <c r="C16" s="33" t="n">
        <v>187</v>
      </c>
      <c r="D16" s="33" t="n">
        <v>160</v>
      </c>
      <c r="E16" s="33" t="n">
        <v>160</v>
      </c>
      <c r="F16" s="33" t="n">
        <v>152</v>
      </c>
      <c r="G16" s="33" t="n">
        <v>142</v>
      </c>
      <c r="H16" s="33" t="n">
        <v>143</v>
      </c>
      <c r="I16" s="33" t="n">
        <v>135</v>
      </c>
      <c r="J16" s="33" t="n">
        <v>155</v>
      </c>
      <c r="K16" s="33" t="n">
        <v>159.96</v>
      </c>
      <c r="L16" s="33" t="n">
        <v>171.45</v>
      </c>
      <c r="M16" s="33" t="n">
        <v>145</v>
      </c>
      <c r="N16" s="33" t="n">
        <v>150</v>
      </c>
      <c r="O16" s="33" t="n">
        <v>182</v>
      </c>
      <c r="P16" s="33" t="n">
        <v>162</v>
      </c>
      <c r="Q16" s="33" t="n">
        <v>177.261</v>
      </c>
      <c r="R16" s="33" t="n">
        <v>182</v>
      </c>
      <c r="S16" s="33" t="n">
        <v>189</v>
      </c>
      <c r="T16" s="33" t="n">
        <v>183</v>
      </c>
      <c r="U16" s="33" t="n">
        <v>187</v>
      </c>
      <c r="V16" s="33" t="n">
        <v>223</v>
      </c>
      <c r="W16" s="33" t="n">
        <v>185</v>
      </c>
      <c r="X16" s="33" t="n">
        <v>178</v>
      </c>
      <c r="Y16" s="33" t="n">
        <v>183</v>
      </c>
      <c r="Z16" s="33" t="n">
        <v>192</v>
      </c>
      <c r="AA16" s="33" t="n">
        <v>174</v>
      </c>
    </row>
    <row r="17" ht="15" customHeight="1">
      <c r="A17" s="32" t="inlineStr">
        <is>
          <t>Other</t>
        </is>
      </c>
      <c r="B17" s="33" t="n">
        <v>33</v>
      </c>
      <c r="C17" s="33" t="n">
        <v>32</v>
      </c>
      <c r="D17" s="33" t="n">
        <v>34</v>
      </c>
      <c r="E17" s="33" t="n">
        <v>31</v>
      </c>
      <c r="F17" s="33" t="n">
        <v>32</v>
      </c>
      <c r="G17" s="33" t="n">
        <v>29</v>
      </c>
      <c r="H17" s="33" t="n">
        <v>27</v>
      </c>
      <c r="I17" s="33" t="n">
        <v>26</v>
      </c>
      <c r="J17" s="33" t="n">
        <v>25</v>
      </c>
      <c r="K17" s="33" t="n">
        <v>31</v>
      </c>
      <c r="L17" s="33" t="n">
        <v>33</v>
      </c>
      <c r="M17" s="33" t="n">
        <v>26</v>
      </c>
      <c r="N17" s="33" t="n">
        <v>27</v>
      </c>
      <c r="O17" s="33" t="n">
        <v>28</v>
      </c>
      <c r="P17" s="33" t="n">
        <v>35</v>
      </c>
      <c r="Q17" s="33" t="n">
        <v>35</v>
      </c>
      <c r="R17" s="33" t="n">
        <v>37</v>
      </c>
      <c r="S17" s="33" t="n">
        <v>33</v>
      </c>
      <c r="T17" s="33" t="n">
        <v>36</v>
      </c>
      <c r="U17" s="33" t="n">
        <v>33</v>
      </c>
      <c r="V17" s="33" t="n">
        <v>40</v>
      </c>
      <c r="W17" s="33" t="n">
        <v>41</v>
      </c>
      <c r="X17" s="33" t="n">
        <v>35</v>
      </c>
      <c r="Y17" s="33" t="n">
        <v>37</v>
      </c>
      <c r="Z17" s="33" t="n">
        <v>35</v>
      </c>
      <c r="AA17" s="33" t="n">
        <v>35</v>
      </c>
    </row>
    <row r="18" ht="15" customHeight="1">
      <c r="A18" s="45" t="inlineStr">
        <is>
          <t>Total Domestic Consumption</t>
        </is>
      </c>
      <c r="B18" s="37" t="n">
        <v>5307</v>
      </c>
      <c r="C18" s="37" t="n">
        <v>5463</v>
      </c>
      <c r="D18" s="37" t="n">
        <v>6019</v>
      </c>
      <c r="E18" s="37" t="n">
        <v>5420</v>
      </c>
      <c r="F18" s="37" t="n">
        <v>5613</v>
      </c>
      <c r="G18" s="37" t="n">
        <v>5088</v>
      </c>
      <c r="H18" s="37" t="n">
        <v>4978</v>
      </c>
      <c r="I18" s="37" t="n">
        <v>4927</v>
      </c>
      <c r="J18" s="37" t="n">
        <v>4799</v>
      </c>
      <c r="K18" s="37" t="n">
        <v>5029.96</v>
      </c>
      <c r="L18" s="37" t="n">
        <v>5325.45</v>
      </c>
      <c r="M18" s="37" t="n">
        <v>5334</v>
      </c>
      <c r="N18" s="37" t="n">
        <v>4776</v>
      </c>
      <c r="O18" s="37" t="n">
        <v>5317</v>
      </c>
      <c r="P18" s="37" t="n">
        <v>5652</v>
      </c>
      <c r="Q18" s="37" t="n">
        <v>5437.261</v>
      </c>
      <c r="R18" s="37" t="n">
        <v>5665</v>
      </c>
      <c r="S18" s="37" t="n">
        <v>5739.55302</v>
      </c>
      <c r="T18" s="37" t="n">
        <v>6146.57908</v>
      </c>
      <c r="U18" s="37" t="n">
        <v>5702.55118</v>
      </c>
      <c r="V18" s="37" t="n">
        <v>6184.629019999999</v>
      </c>
      <c r="W18" s="37" t="n">
        <v>7259.761519999999</v>
      </c>
      <c r="X18" s="37" t="n">
        <v>6335.19298</v>
      </c>
      <c r="Y18" s="37" t="n">
        <v>6143.886732058264</v>
      </c>
      <c r="Z18" s="37" t="n">
        <v>6322.583361487081</v>
      </c>
      <c r="AA18" s="37" t="n">
        <v>6506.420983350134</v>
      </c>
      <c r="AB18" t="n">
        <v>6119.172755141542</v>
      </c>
    </row>
    <row r="19" ht="15" customHeight="1">
      <c r="A19" s="41" t="inlineStr">
        <is>
          <t>Balance</t>
        </is>
      </c>
      <c r="B19" s="42" t="n">
        <v>2946</v>
      </c>
      <c r="C19" s="42" t="n">
        <v>2381</v>
      </c>
      <c r="D19" s="42" t="n">
        <v>1908</v>
      </c>
      <c r="E19" s="42" t="n">
        <v>2055</v>
      </c>
      <c r="F19" s="42" t="n">
        <v>1773</v>
      </c>
      <c r="G19" s="42" t="n">
        <v>1680</v>
      </c>
      <c r="H19" s="42" t="n">
        <v>1525</v>
      </c>
      <c r="I19" s="42" t="n">
        <v>1309</v>
      </c>
      <c r="J19" s="42" t="n">
        <v>1164</v>
      </c>
      <c r="K19" s="42" t="n">
        <v>2016.14</v>
      </c>
      <c r="L19" s="42" t="n">
        <v>2632.45</v>
      </c>
      <c r="M19" s="42" t="n">
        <v>1641.5</v>
      </c>
      <c r="N19" s="42" t="n">
        <v>1744</v>
      </c>
      <c r="O19" s="42" t="n">
        <v>1380</v>
      </c>
      <c r="P19" s="42" t="n">
        <v>2537</v>
      </c>
      <c r="Q19" s="42" t="n">
        <v>2991.739</v>
      </c>
      <c r="R19" s="42" t="n">
        <v>3361.081829999999</v>
      </c>
      <c r="S19" s="42" t="n">
        <v>2388.14477</v>
      </c>
      <c r="T19" s="42" t="n">
        <v>2231.998961842188</v>
      </c>
      <c r="U19" s="42" t="n">
        <v>1954.046790178927</v>
      </c>
      <c r="V19" s="42" t="n">
        <v>3025.148979672173</v>
      </c>
      <c r="W19" s="42" t="n">
        <v>2302.32738</v>
      </c>
      <c r="X19" s="42" t="n">
        <v>1773.125626776949</v>
      </c>
      <c r="Y19" s="42" t="n">
        <v>2293.363826153277</v>
      </c>
      <c r="Z19" s="42" t="n">
        <v>2110.589751757201</v>
      </c>
      <c r="AA19" s="42" t="n">
        <v>1980.190090460541</v>
      </c>
    </row>
    <row r="20" ht="15" customHeight="1">
      <c r="A20" s="34" t="inlineStr">
        <is>
          <t>Exports</t>
        </is>
      </c>
      <c r="B20" s="33" t="n">
        <v>1658</v>
      </c>
      <c r="C20" s="33" t="n">
        <v>1257</v>
      </c>
      <c r="D20" s="33" t="n">
        <v>586</v>
      </c>
      <c r="E20" s="33" t="n">
        <v>1105</v>
      </c>
      <c r="F20" s="33" t="n">
        <v>900</v>
      </c>
      <c r="G20" s="33" t="n">
        <v>748</v>
      </c>
      <c r="H20" s="33" t="n">
        <v>638</v>
      </c>
      <c r="I20" s="33" t="n">
        <v>530</v>
      </c>
      <c r="J20" s="33" t="n">
        <v>404</v>
      </c>
      <c r="K20" s="33" t="n">
        <v>812</v>
      </c>
      <c r="L20" s="33" t="n">
        <v>1034</v>
      </c>
      <c r="M20" s="33" t="n">
        <v>772</v>
      </c>
      <c r="N20" s="33" t="n">
        <v>804</v>
      </c>
      <c r="O20" s="33" t="n">
        <v>384</v>
      </c>
      <c r="P20" s="33" t="n">
        <v>1158</v>
      </c>
      <c r="Q20" s="33" t="n">
        <v>1495</v>
      </c>
      <c r="R20" s="33" t="n">
        <v>1994</v>
      </c>
      <c r="S20" s="33" t="n">
        <v>1026.224270000001</v>
      </c>
      <c r="T20" s="33" t="n">
        <v>1101.425030000001</v>
      </c>
      <c r="U20" s="33" t="n">
        <v>862.958</v>
      </c>
      <c r="V20" s="33" t="n">
        <v>1789.86651</v>
      </c>
      <c r="W20" s="33" t="n">
        <v>1290.456170000001</v>
      </c>
      <c r="X20" s="33" t="n">
        <v>764.321</v>
      </c>
      <c r="Y20" s="33" t="n">
        <v>1123.40398</v>
      </c>
      <c r="Z20" s="33" t="n">
        <v>779.57832</v>
      </c>
      <c r="AA20" s="33" t="n">
        <v>706.5834300000002</v>
      </c>
      <c r="AB20" t="n">
        <v>450</v>
      </c>
    </row>
    <row r="21" ht="15" customHeight="1">
      <c r="A21" s="32" t="inlineStr">
        <is>
          <t>Intervention Stocks</t>
        </is>
      </c>
      <c r="B21" s="33" t="n">
        <v>133</v>
      </c>
      <c r="C21" s="33" t="n">
        <v>11</v>
      </c>
      <c r="D21" s="33" t="n">
        <v>133</v>
      </c>
      <c r="E21" s="33" t="n">
        <v>142</v>
      </c>
      <c r="F21" s="33" t="inlineStr">
        <is>
          <t>-</t>
        </is>
      </c>
      <c r="G21" s="33" t="n">
        <v>16</v>
      </c>
      <c r="H21" s="33" t="n">
        <v>30</v>
      </c>
      <c r="I21" s="33" t="n">
        <v>0</v>
      </c>
      <c r="J21" s="33" t="n">
        <v>0</v>
      </c>
      <c r="K21" s="33" t="n">
        <v>0</v>
      </c>
      <c r="L21" s="33" t="n">
        <v>155</v>
      </c>
      <c r="M21" s="33" t="n">
        <v>0</v>
      </c>
      <c r="N21" s="33" t="inlineStr">
        <is>
          <t>-</t>
        </is>
      </c>
      <c r="O21" s="33" t="n">
        <v>0</v>
      </c>
      <c r="P21" s="33" t="n">
        <v>0</v>
      </c>
      <c r="Q21" s="33" t="n">
        <v>0</v>
      </c>
      <c r="R21" s="33" t="n">
        <v>0</v>
      </c>
      <c r="S21" s="33" t="n">
        <v>0</v>
      </c>
      <c r="T21" s="33" t="inlineStr">
        <is>
          <t>-</t>
        </is>
      </c>
      <c r="U21" s="33" t="n">
        <v>0</v>
      </c>
      <c r="V21" s="33" t="n">
        <v>0</v>
      </c>
      <c r="W21" s="33" t="n">
        <v>0</v>
      </c>
      <c r="X21" s="33" t="n">
        <v>0</v>
      </c>
      <c r="Y21" s="33" t="n">
        <v>0</v>
      </c>
      <c r="Z21" s="33" t="n">
        <v>0</v>
      </c>
      <c r="AA21" s="33" t="n">
        <v>0</v>
      </c>
    </row>
    <row r="22" ht="15" customHeight="1">
      <c r="A22" s="46" t="inlineStr">
        <is>
          <t>Commercial End-Season Stocks</t>
        </is>
      </c>
      <c r="B22" s="42" t="n">
        <v>1155</v>
      </c>
      <c r="C22" s="42" t="n">
        <v>1113</v>
      </c>
      <c r="D22" s="42" t="n">
        <v>1189</v>
      </c>
      <c r="E22" s="42" t="n">
        <v>808</v>
      </c>
      <c r="F22" s="42" t="n">
        <v>873</v>
      </c>
      <c r="G22" s="42" t="n">
        <v>916</v>
      </c>
      <c r="H22" s="42" t="n">
        <v>857</v>
      </c>
      <c r="I22" s="42" t="n">
        <v>779</v>
      </c>
      <c r="J22" s="42" t="n">
        <v>760.1</v>
      </c>
      <c r="K22" s="42" t="n">
        <v>1204</v>
      </c>
      <c r="L22" s="42" t="n">
        <v>1444</v>
      </c>
      <c r="M22" s="42" t="n">
        <v>870</v>
      </c>
      <c r="N22" s="42" t="n">
        <v>940</v>
      </c>
      <c r="O22" s="42" t="n">
        <v>997</v>
      </c>
      <c r="P22" s="42" t="n">
        <v>1379</v>
      </c>
      <c r="Q22" s="42" t="n">
        <v>1497.08183</v>
      </c>
      <c r="R22" s="42" t="n">
        <v>1367</v>
      </c>
      <c r="S22" s="42" t="n">
        <v>1105.189681787487</v>
      </c>
      <c r="T22" s="42" t="n">
        <v>1076.222247034679</v>
      </c>
      <c r="U22" s="42" t="n">
        <v>1091.264349672172</v>
      </c>
      <c r="V22" s="42" t="n">
        <v>1356.55</v>
      </c>
      <c r="W22" s="42" t="n">
        <v>1057.935976625498</v>
      </c>
      <c r="X22" s="42" t="n">
        <v>963.927</v>
      </c>
      <c r="Y22" s="42" t="n">
        <v>1268.451441226532</v>
      </c>
      <c r="Z22" s="42" t="n">
        <v>1162.859449600689</v>
      </c>
      <c r="AA22" s="42" t="n">
        <v>1278.916231411162</v>
      </c>
    </row>
    <row r="23" ht="15" customHeight="1">
      <c r="A23" s="30" t="inlineStr">
        <is>
          <t>of which estimated operating stock requirement (c)</t>
        </is>
      </c>
      <c r="B23" s="31" t="inlineStr">
        <is>
          <t>n/a</t>
        </is>
      </c>
      <c r="C23" s="31" t="inlineStr">
        <is>
          <t>n/a</t>
        </is>
      </c>
      <c r="D23" s="31" t="inlineStr">
        <is>
          <t>n/a</t>
        </is>
      </c>
      <c r="E23" s="31" t="inlineStr">
        <is>
          <t>n/a</t>
        </is>
      </c>
      <c r="F23" s="31" t="inlineStr">
        <is>
          <t>n/a</t>
        </is>
      </c>
      <c r="G23" s="31" t="inlineStr">
        <is>
          <t>n/a</t>
        </is>
      </c>
      <c r="H23" s="31" t="inlineStr">
        <is>
          <t>n/a</t>
        </is>
      </c>
      <c r="I23" s="31" t="inlineStr">
        <is>
          <t>n/a</t>
        </is>
      </c>
      <c r="J23" s="31" t="inlineStr">
        <is>
          <t>n/a</t>
        </is>
      </c>
      <c r="K23" s="31" t="inlineStr">
        <is>
          <t>n/a</t>
        </is>
      </c>
      <c r="L23" s="31" t="n">
        <v>694</v>
      </c>
      <c r="M23" s="31" t="n">
        <v>701</v>
      </c>
      <c r="N23" s="31" t="n">
        <v>712</v>
      </c>
      <c r="O23" s="31" t="n">
        <v>713</v>
      </c>
      <c r="P23" s="31" t="n">
        <v>713</v>
      </c>
      <c r="Q23" s="31" t="n">
        <v>750</v>
      </c>
      <c r="R23" s="31" t="n">
        <v>760</v>
      </c>
      <c r="S23" s="31" t="n">
        <v>760</v>
      </c>
      <c r="T23" s="31" t="n">
        <v>770</v>
      </c>
      <c r="U23" s="31" t="n">
        <v>780</v>
      </c>
      <c r="V23" s="31" t="n">
        <v>790</v>
      </c>
      <c r="W23" s="31" t="n">
        <v>780</v>
      </c>
      <c r="X23" s="31" t="n">
        <v>800</v>
      </c>
      <c r="Y23" s="31" t="n">
        <v>800</v>
      </c>
      <c r="Z23" s="31" t="n">
        <v>800</v>
      </c>
      <c r="AA23" s="31" t="n">
        <v>800</v>
      </c>
    </row>
    <row r="24" ht="15" customHeight="1">
      <c r="A24" s="47" t="inlineStr">
        <is>
          <t>of which free stock (d)</t>
        </is>
      </c>
      <c r="B24" s="31" t="inlineStr">
        <is>
          <t>n/a</t>
        </is>
      </c>
      <c r="C24" s="31" t="inlineStr">
        <is>
          <t>n/a</t>
        </is>
      </c>
      <c r="D24" s="31" t="inlineStr">
        <is>
          <t>n/a</t>
        </is>
      </c>
      <c r="E24" s="31" t="inlineStr">
        <is>
          <t>n/a</t>
        </is>
      </c>
      <c r="F24" s="31" t="inlineStr">
        <is>
          <t>n/a</t>
        </is>
      </c>
      <c r="G24" s="31" t="inlineStr">
        <is>
          <t>n/a</t>
        </is>
      </c>
      <c r="H24" s="31" t="inlineStr">
        <is>
          <t>n/a</t>
        </is>
      </c>
      <c r="I24" s="31" t="inlineStr">
        <is>
          <t>n/a</t>
        </is>
      </c>
      <c r="J24" s="31" t="inlineStr">
        <is>
          <t>n/a</t>
        </is>
      </c>
      <c r="K24" s="31" t="inlineStr">
        <is>
          <t>n/a</t>
        </is>
      </c>
      <c r="L24" s="31" t="n">
        <v>750</v>
      </c>
      <c r="M24" s="31" t="n">
        <v>169</v>
      </c>
      <c r="N24" s="31" t="n">
        <v>228</v>
      </c>
      <c r="O24" s="31" t="n">
        <v>284</v>
      </c>
      <c r="P24" s="31" t="n">
        <v>666</v>
      </c>
      <c r="Q24" s="31" t="n">
        <v>747.0818300000001</v>
      </c>
      <c r="R24" s="31" t="n">
        <v>607</v>
      </c>
      <c r="S24" s="31" t="n">
        <v>345.1896817874874</v>
      </c>
      <c r="T24" s="31" t="n">
        <v>306.2222470346794</v>
      </c>
      <c r="U24" s="31" t="n">
        <v>311.2643496721721</v>
      </c>
      <c r="V24" s="31" t="n">
        <v>566.55</v>
      </c>
      <c r="W24" s="31" t="n">
        <v>277.9359766254979</v>
      </c>
      <c r="X24" s="31" t="n">
        <v>163.927</v>
      </c>
      <c r="Y24" s="31" t="n">
        <v>468.4514412265321</v>
      </c>
      <c r="Z24" s="31" t="n">
        <v>362.8594496006885</v>
      </c>
      <c r="AA24" s="31" t="n">
        <v>478.9162314111616</v>
      </c>
      <c r="AB24" t="n">
        <v>466.2846721560998</v>
      </c>
    </row>
    <row r="25" ht="15" customHeight="1">
      <c r="A25" s="32" t="inlineStr">
        <is>
          <t xml:space="preserve">Surplus available for either export or free stock </t>
        </is>
      </c>
      <c r="B25" s="33" t="inlineStr">
        <is>
          <t>n/a</t>
        </is>
      </c>
      <c r="C25" s="33" t="inlineStr">
        <is>
          <t>n/a</t>
        </is>
      </c>
      <c r="D25" s="33" t="inlineStr">
        <is>
          <t>n/a</t>
        </is>
      </c>
      <c r="E25" s="33" t="inlineStr">
        <is>
          <t>n/a</t>
        </is>
      </c>
      <c r="F25" s="33" t="inlineStr">
        <is>
          <t>n/a</t>
        </is>
      </c>
      <c r="G25" s="33" t="inlineStr">
        <is>
          <t>n/a</t>
        </is>
      </c>
      <c r="H25" s="33" t="inlineStr">
        <is>
          <t>n/a</t>
        </is>
      </c>
      <c r="I25" s="33" t="inlineStr">
        <is>
          <t>n/a</t>
        </is>
      </c>
      <c r="J25" s="33" t="inlineStr">
        <is>
          <t>n/a</t>
        </is>
      </c>
      <c r="K25" s="33" t="inlineStr">
        <is>
          <t>n/a</t>
        </is>
      </c>
      <c r="L25" s="33" t="n">
        <v>1938.45</v>
      </c>
      <c r="M25" s="33" t="n">
        <v>941</v>
      </c>
      <c r="N25" s="33" t="n">
        <v>1032</v>
      </c>
      <c r="O25" s="33" t="n">
        <v>667</v>
      </c>
      <c r="P25" s="33" t="n">
        <v>1824</v>
      </c>
      <c r="Q25" s="33" t="n">
        <v>2241.739</v>
      </c>
      <c r="R25" s="33" t="n">
        <v>2601.081829999999</v>
      </c>
      <c r="S25" s="33" t="n">
        <v>1371.413951787488</v>
      </c>
      <c r="T25" s="33" t="n">
        <v>1407.647277034681</v>
      </c>
      <c r="U25" s="33" t="n">
        <v>1174.046790178927</v>
      </c>
      <c r="V25" s="33" t="n">
        <v>2356.41651</v>
      </c>
      <c r="W25" s="33" t="n">
        <v>1568.392146625499</v>
      </c>
      <c r="X25" s="33" t="n">
        <v>928.248</v>
      </c>
      <c r="Y25" s="33" t="n">
        <v>1591.855421226532</v>
      </c>
      <c r="Z25" s="33" t="n">
        <v>1142.437769600689</v>
      </c>
      <c r="AA25" s="33" t="n">
        <v>1185.499661411162</v>
      </c>
    </row>
    <row r="26" ht="15" customHeight="1">
      <c r="A26" s="47" t="inlineStr">
        <is>
          <t>Residual (f)</t>
        </is>
      </c>
      <c r="B26" s="31" t="inlineStr">
        <is>
          <t>n/a</t>
        </is>
      </c>
      <c r="C26" s="31" t="inlineStr">
        <is>
          <t>n/a</t>
        </is>
      </c>
      <c r="D26" s="31" t="inlineStr">
        <is>
          <t>n/a</t>
        </is>
      </c>
      <c r="E26" s="31" t="inlineStr">
        <is>
          <t>n/a</t>
        </is>
      </c>
      <c r="F26" s="31" t="inlineStr">
        <is>
          <t>n/a</t>
        </is>
      </c>
      <c r="G26" s="31" t="inlineStr">
        <is>
          <t>n/a</t>
        </is>
      </c>
      <c r="H26" s="31" t="inlineStr">
        <is>
          <t>n/a</t>
        </is>
      </c>
      <c r="I26" s="31" t="inlineStr">
        <is>
          <t>n/a</t>
        </is>
      </c>
      <c r="J26" s="31" t="inlineStr">
        <is>
          <t>n/a</t>
        </is>
      </c>
      <c r="K26" s="31" t="inlineStr">
        <is>
          <t>n/a</t>
        </is>
      </c>
      <c r="L26" s="31" t="inlineStr">
        <is>
          <t>n/a</t>
        </is>
      </c>
      <c r="M26" s="31" t="inlineStr">
        <is>
          <t>n/a</t>
        </is>
      </c>
      <c r="N26" s="31" t="inlineStr">
        <is>
          <t>n/a</t>
        </is>
      </c>
      <c r="O26" s="31" t="inlineStr">
        <is>
          <t>n/a</t>
        </is>
      </c>
      <c r="P26" s="31" t="inlineStr">
        <is>
          <t>n/a</t>
        </is>
      </c>
      <c r="Q26" s="31" t="inlineStr">
        <is>
          <t>n/a</t>
        </is>
      </c>
      <c r="R26" s="31" t="inlineStr">
        <is>
          <t>n/a</t>
        </is>
      </c>
      <c r="S26" s="31" t="n">
        <v>256.7308182125114</v>
      </c>
      <c r="T26" s="31" t="n">
        <v>54.3516848075069</v>
      </c>
      <c r="U26" s="31" t="n">
        <v>0</v>
      </c>
      <c r="V26" s="31" t="n">
        <v>-121.2675303278268</v>
      </c>
      <c r="W26" s="31" t="n">
        <v>-46.06476662549881</v>
      </c>
      <c r="X26" s="31" t="n">
        <v>44.87762677694855</v>
      </c>
      <c r="Y26" s="31" t="n">
        <v>-98.49159507325521</v>
      </c>
      <c r="Z26" s="31" t="n">
        <v>168.1519821565125</v>
      </c>
      <c r="AA26" s="31" t="n">
        <v>-5.30957095062081</v>
      </c>
    </row>
    <row r="27">
      <c r="A27" s="3"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Z27" s="4" t="n"/>
      <c r="AA27" s="4" t="n"/>
      <c r="AB27" s="4" t="n"/>
    </row>
  </sheetData>
  <mergeCells count="1">
    <mergeCell ref="A2:L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2" display="Human and Industrial Consumption (a)" r:id="rId4"/>
    <hyperlink xmlns:r="http://schemas.openxmlformats.org/officeDocument/2006/relationships" ref="A14" r:id="rId5"/>
    <hyperlink xmlns:r="http://schemas.openxmlformats.org/officeDocument/2006/relationships" ref="A20" r:id="rId6"/>
    <hyperlink xmlns:r="http://schemas.openxmlformats.org/officeDocument/2006/relationships" ref="A22" r:id="rId7"/>
    <hyperlink xmlns:r="http://schemas.openxmlformats.org/officeDocument/2006/relationships" ref="A23" r:id="rId8"/>
  </hyperlinks>
  <pageMargins left="0.7" right="0.7" top="0.75" bottom="0.75" header="0.3" footer="0.3"/>
  <pageSetup orientation="portrait" paperSize="9"/>
  <drawing xmlns:r="http://schemas.openxmlformats.org/officeDocument/2006/relationships" r:id="rId9"/>
</worksheet>
</file>

<file path=xl/worksheets/sheet4.xml><?xml version="1.0" encoding="utf-8"?>
<worksheet xmlns="http://schemas.openxmlformats.org/spreadsheetml/2006/main">
  <sheetPr>
    <outlinePr summaryBelow="1" summaryRight="1"/>
    <pageSetUpPr/>
  </sheetPr>
  <dimension ref="A2:AB23"/>
  <sheetViews>
    <sheetView showGridLines="0" zoomScale="80" zoomScaleNormal="80" workbookViewId="0">
      <pane xSplit="1" ySplit="7" topLeftCell="Q8" activePane="bottomRight" state="frozen"/>
      <selection pane="topRight" activeCell="B1" sqref="B1"/>
      <selection pane="bottomLeft" activeCell="A8" sqref="A8"/>
      <selection pane="bottomRight" activeCell="S22" sqref="S22"/>
    </sheetView>
  </sheetViews>
  <sheetFormatPr baseColWidth="8" defaultColWidth="9.1796875" defaultRowHeight="14"/>
  <cols>
    <col width="43.90625" customWidth="1" style="1" min="1" max="1"/>
    <col width="11.7265625" customWidth="1" style="1" min="2" max="28"/>
    <col width="9.1796875" customWidth="1" style="1" min="29" max="16384"/>
  </cols>
  <sheetData>
    <row r="1" ht="27" customHeight="1"/>
    <row r="2" ht="20" customHeight="1">
      <c r="A2" s="52" t="inlineStr">
        <is>
          <t>Historic UK cereal supply and demand estimates - Oats</t>
        </is>
      </c>
      <c r="B2" s="58" t="n"/>
      <c r="C2" s="58" t="n"/>
      <c r="D2" s="58" t="n"/>
      <c r="E2" s="58" t="n"/>
      <c r="F2" s="58" t="n"/>
      <c r="G2" s="58" t="n"/>
      <c r="H2" s="58" t="n"/>
      <c r="I2" s="58" t="n"/>
      <c r="J2" s="58" t="n"/>
      <c r="K2" s="58" t="n"/>
      <c r="L2" s="58" t="n"/>
    </row>
    <row r="3" ht="15.5" customHeight="1">
      <c r="A3" s="9" t="inlineStr">
        <is>
          <t>Source: AHDB, Defra</t>
        </is>
      </c>
    </row>
    <row r="4" ht="15.5" customHeight="1">
      <c r="A4" s="10" t="inlineStr">
        <is>
          <t>Units: Thousand tonnes (Kt)</t>
        </is>
      </c>
    </row>
    <row r="5" ht="15.5" customHeight="1">
      <c r="A5" s="12">
        <f>'Total Cereals'!A5</f>
        <v/>
      </c>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c r="AB7" t="inlineStr">
        <is>
          <t>2025/26</t>
        </is>
      </c>
    </row>
    <row r="8" ht="15" customHeight="1">
      <c r="A8" s="30" t="inlineStr">
        <is>
          <t>Opening Stocks</t>
        </is>
      </c>
      <c r="B8" s="31" t="n">
        <v>33</v>
      </c>
      <c r="C8" s="31" t="n">
        <v>41</v>
      </c>
      <c r="D8" s="31" t="n">
        <v>36</v>
      </c>
      <c r="E8" s="31" t="n">
        <v>44</v>
      </c>
      <c r="F8" s="31" t="n">
        <v>47</v>
      </c>
      <c r="G8" s="31" t="n">
        <v>50</v>
      </c>
      <c r="H8" s="31" t="n">
        <v>46</v>
      </c>
      <c r="I8" s="31" t="n">
        <v>42.2</v>
      </c>
      <c r="J8" s="31" t="n">
        <v>64</v>
      </c>
      <c r="K8" s="31" t="n">
        <v>64</v>
      </c>
      <c r="L8" s="31" t="n">
        <v>102</v>
      </c>
      <c r="M8" s="31" t="n">
        <v>94</v>
      </c>
      <c r="N8" s="31" t="n">
        <v>64.8</v>
      </c>
      <c r="O8" s="31" t="n">
        <v>63</v>
      </c>
      <c r="P8" s="31" t="n">
        <v>69</v>
      </c>
      <c r="Q8" s="31" t="n">
        <v>167.6</v>
      </c>
      <c r="R8" s="31" t="n">
        <v>107</v>
      </c>
      <c r="S8" s="31" t="n">
        <v>93</v>
      </c>
      <c r="T8" s="31" t="n">
        <v>110</v>
      </c>
      <c r="U8" s="31" t="n">
        <v>137.8898400149472</v>
      </c>
      <c r="V8" s="31" t="n">
        <v>116.080420636521</v>
      </c>
      <c r="W8" s="31" t="n">
        <v>106.486</v>
      </c>
      <c r="X8" s="31" t="n">
        <v>147.1567956935473</v>
      </c>
      <c r="Y8" s="31" t="n">
        <v>156.927</v>
      </c>
      <c r="Z8" s="31" t="n">
        <v>139.5771088708439</v>
      </c>
      <c r="AA8" s="31" t="n">
        <v>95.19102580003191</v>
      </c>
    </row>
    <row r="9" ht="15" customHeight="1">
      <c r="A9" s="30" t="inlineStr">
        <is>
          <t>Production</t>
        </is>
      </c>
      <c r="B9" s="31" t="n">
        <v>539</v>
      </c>
      <c r="C9" s="31" t="n">
        <v>640</v>
      </c>
      <c r="D9" s="31" t="n">
        <v>615</v>
      </c>
      <c r="E9" s="31" t="n">
        <v>753</v>
      </c>
      <c r="F9" s="31" t="n">
        <v>749</v>
      </c>
      <c r="G9" s="31" t="n">
        <v>630</v>
      </c>
      <c r="H9" s="31" t="n">
        <v>532</v>
      </c>
      <c r="I9" s="31" t="n">
        <v>728</v>
      </c>
      <c r="J9" s="31" t="n">
        <v>712</v>
      </c>
      <c r="K9" s="31" t="n">
        <v>784</v>
      </c>
      <c r="L9" s="31" t="n">
        <v>744</v>
      </c>
      <c r="M9" s="31" t="n">
        <v>685</v>
      </c>
      <c r="N9" s="31" t="n">
        <v>613</v>
      </c>
      <c r="O9" s="31" t="n">
        <v>627</v>
      </c>
      <c r="P9" s="31" t="n">
        <v>964</v>
      </c>
      <c r="Q9" s="31" t="n">
        <v>820</v>
      </c>
      <c r="R9" s="31" t="n">
        <v>799</v>
      </c>
      <c r="S9" s="31" t="n">
        <v>816</v>
      </c>
      <c r="T9" s="31" t="n">
        <v>874.778201964926</v>
      </c>
      <c r="U9" s="31" t="n">
        <v>850.301</v>
      </c>
      <c r="V9" s="31" t="n">
        <v>1075.58775819962</v>
      </c>
      <c r="W9" s="31" t="n">
        <v>1031</v>
      </c>
      <c r="X9" s="31" t="n">
        <v>1123.06408087103</v>
      </c>
      <c r="Y9" s="31" t="n">
        <v>1007.09781097977</v>
      </c>
      <c r="Z9" s="31" t="n">
        <v>829.9882997312974</v>
      </c>
      <c r="AA9" s="31" t="n">
        <v>985.5104615789661</v>
      </c>
    </row>
    <row r="10" ht="15" customHeight="1">
      <c r="A10" s="30" t="inlineStr">
        <is>
          <t>Imports</t>
        </is>
      </c>
      <c r="B10" s="31" t="n">
        <v>12</v>
      </c>
      <c r="C10" s="31" t="n">
        <v>8</v>
      </c>
      <c r="D10" s="31" t="n">
        <v>13</v>
      </c>
      <c r="E10" s="31" t="n">
        <v>11</v>
      </c>
      <c r="F10" s="31" t="n">
        <v>19</v>
      </c>
      <c r="G10" s="31" t="n">
        <v>23</v>
      </c>
      <c r="H10" s="31" t="n">
        <v>54</v>
      </c>
      <c r="I10" s="31" t="n">
        <v>21</v>
      </c>
      <c r="J10" s="31" t="n">
        <v>66</v>
      </c>
      <c r="K10" s="31" t="n">
        <v>20</v>
      </c>
      <c r="L10" s="31" t="n">
        <v>17</v>
      </c>
      <c r="M10" s="31" t="n">
        <v>18</v>
      </c>
      <c r="N10" s="31" t="n">
        <v>57</v>
      </c>
      <c r="O10" s="31" t="n">
        <v>109</v>
      </c>
      <c r="P10" s="31" t="n">
        <v>46</v>
      </c>
      <c r="Q10" s="31" t="n">
        <v>37</v>
      </c>
      <c r="R10" s="31" t="n">
        <v>39</v>
      </c>
      <c r="S10" s="31" t="n">
        <v>32.14547999999999</v>
      </c>
      <c r="T10" s="31" t="n">
        <v>18.96742</v>
      </c>
      <c r="U10" s="31" t="n">
        <v>32.10212</v>
      </c>
      <c r="V10" s="31" t="n">
        <v>18.09884</v>
      </c>
      <c r="W10" s="31" t="n">
        <v>19.99254</v>
      </c>
      <c r="X10" s="31" t="n">
        <v>17.171</v>
      </c>
      <c r="Y10" s="31" t="n">
        <v>17.58</v>
      </c>
      <c r="Z10" s="31" t="n">
        <v>15.49962</v>
      </c>
      <c r="AA10" s="31" t="n">
        <v>13.76942</v>
      </c>
    </row>
    <row r="11" ht="15" customHeight="1">
      <c r="A11" s="41" t="inlineStr">
        <is>
          <t>Total Availability</t>
        </is>
      </c>
      <c r="B11" s="42" t="n">
        <v>584</v>
      </c>
      <c r="C11" s="42" t="n">
        <v>689</v>
      </c>
      <c r="D11" s="42" t="n">
        <v>664</v>
      </c>
      <c r="E11" s="42" t="n">
        <v>808</v>
      </c>
      <c r="F11" s="42" t="n">
        <v>815</v>
      </c>
      <c r="G11" s="42" t="n">
        <v>703</v>
      </c>
      <c r="H11" s="42" t="n">
        <v>632</v>
      </c>
      <c r="I11" s="42" t="n">
        <v>791.2</v>
      </c>
      <c r="J11" s="42" t="n">
        <v>842</v>
      </c>
      <c r="K11" s="42" t="n">
        <v>868</v>
      </c>
      <c r="L11" s="42" t="n">
        <v>863</v>
      </c>
      <c r="M11" s="42" t="n">
        <v>797</v>
      </c>
      <c r="N11" s="42" t="n">
        <v>734.8</v>
      </c>
      <c r="O11" s="42" t="n">
        <v>799</v>
      </c>
      <c r="P11" s="42" t="n">
        <v>1079</v>
      </c>
      <c r="Q11" s="42" t="n">
        <v>1024.6</v>
      </c>
      <c r="R11" s="42" t="n">
        <v>945</v>
      </c>
      <c r="S11" s="42" t="n">
        <v>941.14548</v>
      </c>
      <c r="T11" s="42" t="n">
        <v>1003.745621964926</v>
      </c>
      <c r="U11" s="42" t="n">
        <v>1020.292960014947</v>
      </c>
      <c r="V11" s="42" t="n">
        <v>1209.767018836141</v>
      </c>
      <c r="W11" s="42" t="n">
        <v>1157.47854</v>
      </c>
      <c r="X11" s="42" t="n">
        <v>1287.391876564577</v>
      </c>
      <c r="Y11" s="42" t="n">
        <v>1181.60481097977</v>
      </c>
      <c r="Z11" s="42" t="n">
        <v>985.0650286021414</v>
      </c>
      <c r="AA11" s="42" t="n">
        <v>1094.470907378998</v>
      </c>
    </row>
    <row r="12" ht="15" customHeight="1">
      <c r="A12" s="34" t="inlineStr">
        <is>
          <t>Human and Industrial Consumption</t>
        </is>
      </c>
      <c r="B12" s="33" t="n">
        <v>261</v>
      </c>
      <c r="C12" s="33" t="n">
        <v>273</v>
      </c>
      <c r="D12" s="33" t="n">
        <v>301</v>
      </c>
      <c r="E12" s="33" t="n">
        <v>324</v>
      </c>
      <c r="F12" s="33" t="n">
        <v>318</v>
      </c>
      <c r="G12" s="33" t="n">
        <v>337</v>
      </c>
      <c r="H12" s="33" t="n">
        <v>352</v>
      </c>
      <c r="I12" s="33" t="n">
        <v>406</v>
      </c>
      <c r="J12" s="33" t="n">
        <v>427</v>
      </c>
      <c r="K12" s="33" t="n">
        <v>419</v>
      </c>
      <c r="L12" s="33" t="n">
        <v>429</v>
      </c>
      <c r="M12" s="33" t="n">
        <v>460</v>
      </c>
      <c r="N12" s="33" t="n">
        <v>474</v>
      </c>
      <c r="O12" s="33" t="n">
        <v>491</v>
      </c>
      <c r="P12" s="33" t="n">
        <v>508</v>
      </c>
      <c r="Q12" s="33" t="n">
        <v>492</v>
      </c>
      <c r="R12" s="33" t="n">
        <v>525</v>
      </c>
      <c r="S12" s="33" t="n">
        <v>521.0999700000001</v>
      </c>
      <c r="T12" s="33" t="n">
        <v>536.576194</v>
      </c>
      <c r="U12" s="33" t="n">
        <v>535.98506</v>
      </c>
      <c r="V12" s="33" t="n">
        <v>553.2569999999999</v>
      </c>
      <c r="W12" s="33" t="n">
        <v>530.8820000000001</v>
      </c>
      <c r="X12" s="33" t="n">
        <v>501.331</v>
      </c>
      <c r="Y12" s="33" t="n">
        <v>491.6800000000001</v>
      </c>
      <c r="Z12" s="33" t="n">
        <v>500.867</v>
      </c>
      <c r="AA12" s="33" t="n">
        <v>491.449</v>
      </c>
    </row>
    <row r="13" ht="15" customHeight="1">
      <c r="A13" s="32" t="inlineStr">
        <is>
          <t>(of which home grown)</t>
        </is>
      </c>
      <c r="B13" s="33" t="n">
        <v>249</v>
      </c>
      <c r="C13" s="33" t="n">
        <v>265</v>
      </c>
      <c r="D13" s="33" t="n">
        <v>288</v>
      </c>
      <c r="E13" s="33" t="n">
        <v>313</v>
      </c>
      <c r="F13" s="33" t="n">
        <v>299</v>
      </c>
      <c r="G13" s="33" t="n">
        <v>317</v>
      </c>
      <c r="H13" s="33" t="n">
        <v>298</v>
      </c>
      <c r="I13" s="33" t="n">
        <v>385</v>
      </c>
      <c r="J13" s="33" t="n">
        <v>361</v>
      </c>
      <c r="K13" s="33" t="n">
        <v>399</v>
      </c>
      <c r="L13" s="33" t="n">
        <v>412</v>
      </c>
      <c r="M13" s="33" t="n">
        <v>445</v>
      </c>
      <c r="N13" s="33" t="n">
        <v>427</v>
      </c>
      <c r="O13" s="33" t="n">
        <v>375</v>
      </c>
      <c r="P13" s="33" t="n">
        <v>465</v>
      </c>
      <c r="Q13" s="33" t="n">
        <v>450</v>
      </c>
      <c r="R13" s="33" t="n">
        <v>499</v>
      </c>
      <c r="S13" s="33" t="n">
        <v>476.0999700000001</v>
      </c>
      <c r="T13" s="33" t="n">
        <v>518.576194</v>
      </c>
      <c r="U13" s="33" t="n">
        <v>499.98506</v>
      </c>
      <c r="V13" s="33" t="n">
        <v>537.2569999999999</v>
      </c>
      <c r="W13" s="33" t="n">
        <v>512.8820000000001</v>
      </c>
      <c r="X13" s="33" t="n">
        <v>483.331</v>
      </c>
      <c r="Y13" s="33" t="n">
        <v>473.6800000000001</v>
      </c>
      <c r="Z13" s="33" t="n">
        <v>485.867</v>
      </c>
      <c r="AA13" s="33" t="n">
        <v>478.449</v>
      </c>
    </row>
    <row r="14" ht="15" customHeight="1">
      <c r="A14" s="34" t="inlineStr">
        <is>
          <t>Animal Feed</t>
        </is>
      </c>
      <c r="B14" s="33" t="n">
        <v>212</v>
      </c>
      <c r="C14" s="33" t="n">
        <v>249</v>
      </c>
      <c r="D14" s="33" t="n">
        <v>176</v>
      </c>
      <c r="E14" s="33" t="n">
        <v>256</v>
      </c>
      <c r="F14" s="33" t="n">
        <v>309</v>
      </c>
      <c r="G14" s="33" t="n">
        <v>236</v>
      </c>
      <c r="H14" s="33" t="n">
        <v>204</v>
      </c>
      <c r="I14" s="33" t="n">
        <v>248</v>
      </c>
      <c r="J14" s="33" t="n">
        <v>257</v>
      </c>
      <c r="K14" s="33" t="n">
        <v>238</v>
      </c>
      <c r="L14" s="33" t="n">
        <v>268</v>
      </c>
      <c r="M14" s="33" t="n">
        <v>198</v>
      </c>
      <c r="N14" s="33" t="n">
        <v>164</v>
      </c>
      <c r="O14" s="33" t="n">
        <v>198</v>
      </c>
      <c r="P14" s="33" t="n">
        <v>345</v>
      </c>
      <c r="Q14" s="33" t="n">
        <v>326</v>
      </c>
      <c r="R14" s="33" t="n">
        <v>239</v>
      </c>
      <c r="S14" s="33" t="n">
        <v>262.663</v>
      </c>
      <c r="T14" s="33" t="n">
        <v>272.89</v>
      </c>
      <c r="U14" s="33" t="n">
        <v>301.969</v>
      </c>
      <c r="V14" s="33" t="n">
        <v>346.114</v>
      </c>
      <c r="W14" s="33" t="n">
        <v>394.231</v>
      </c>
      <c r="X14" s="33" t="n">
        <v>475.575</v>
      </c>
      <c r="Y14" s="33" t="n">
        <v>350.27</v>
      </c>
      <c r="Z14" s="33" t="n">
        <v>243.694</v>
      </c>
      <c r="AA14" s="33" t="n">
        <v>364.888</v>
      </c>
    </row>
    <row r="15" ht="15" customHeight="1">
      <c r="A15" s="32" t="inlineStr">
        <is>
          <t>(of which home grown)</t>
        </is>
      </c>
      <c r="B15" s="33" t="n">
        <v>212</v>
      </c>
      <c r="C15" s="33" t="n">
        <v>249</v>
      </c>
      <c r="D15" s="33" t="n">
        <v>176</v>
      </c>
      <c r="E15" s="33" t="n">
        <v>256</v>
      </c>
      <c r="F15" s="33" t="n">
        <v>309</v>
      </c>
      <c r="G15" s="33" t="n">
        <v>233</v>
      </c>
      <c r="H15" s="33" t="n">
        <v>204</v>
      </c>
      <c r="I15" s="33" t="n">
        <v>248</v>
      </c>
      <c r="J15" s="33" t="n">
        <v>257</v>
      </c>
      <c r="K15" s="33" t="n">
        <v>238</v>
      </c>
      <c r="L15" s="33" t="n">
        <v>268</v>
      </c>
      <c r="M15" s="33" t="n">
        <v>198</v>
      </c>
      <c r="N15" s="33" t="n">
        <v>164</v>
      </c>
      <c r="O15" s="33" t="n">
        <v>198</v>
      </c>
      <c r="P15" s="33" t="n">
        <v>345</v>
      </c>
      <c r="Q15" s="33" t="n">
        <v>326</v>
      </c>
      <c r="R15" s="33" t="n">
        <v>239</v>
      </c>
      <c r="S15" s="33" t="n">
        <v>262.663</v>
      </c>
      <c r="T15" s="33" t="n">
        <v>272.89</v>
      </c>
      <c r="U15" s="33" t="n">
        <v>301.969</v>
      </c>
      <c r="V15" s="33" t="n">
        <v>346.114</v>
      </c>
      <c r="W15" s="33" t="n">
        <v>394.231</v>
      </c>
      <c r="X15" s="33" t="n">
        <v>475.575</v>
      </c>
      <c r="Y15" s="33" t="n">
        <v>350.27</v>
      </c>
      <c r="Z15" s="33" t="n">
        <v>243.694</v>
      </c>
      <c r="AA15" s="33" t="n">
        <v>364.888</v>
      </c>
    </row>
    <row r="16" ht="15" customHeight="1">
      <c r="A16" s="35" t="inlineStr">
        <is>
          <t>Seed (b)</t>
        </is>
      </c>
      <c r="B16" s="33" t="n">
        <v>21</v>
      </c>
      <c r="C16" s="33" t="n">
        <v>16</v>
      </c>
      <c r="D16" s="33" t="n">
        <v>18</v>
      </c>
      <c r="E16" s="33" t="n">
        <v>16</v>
      </c>
      <c r="F16" s="33" t="n">
        <v>15</v>
      </c>
      <c r="G16" s="33" t="n">
        <v>13</v>
      </c>
      <c r="H16" s="33" t="n">
        <v>17</v>
      </c>
      <c r="I16" s="33" t="n">
        <v>17</v>
      </c>
      <c r="J16" s="33" t="n">
        <v>18.06</v>
      </c>
      <c r="K16" s="33" t="n">
        <v>18.9</v>
      </c>
      <c r="L16" s="33" t="n">
        <v>18.06</v>
      </c>
      <c r="M16" s="33" t="n">
        <v>17.36</v>
      </c>
      <c r="N16" s="33" t="n">
        <v>15.229</v>
      </c>
      <c r="O16" s="33" t="n">
        <v>25</v>
      </c>
      <c r="P16" s="33" t="n">
        <v>19</v>
      </c>
      <c r="Q16" s="33" t="n">
        <v>18.34</v>
      </c>
      <c r="R16" s="33" t="n">
        <v>19</v>
      </c>
      <c r="S16" s="33" t="n">
        <v>23</v>
      </c>
      <c r="T16" s="33" t="n">
        <v>24</v>
      </c>
      <c r="U16" s="33" t="n">
        <v>25</v>
      </c>
      <c r="V16" s="33" t="n">
        <v>29</v>
      </c>
      <c r="W16" s="33" t="n">
        <v>28</v>
      </c>
      <c r="X16" s="33" t="n">
        <v>24</v>
      </c>
      <c r="Y16" s="33" t="n">
        <v>23</v>
      </c>
      <c r="Z16" s="33" t="n">
        <v>25</v>
      </c>
      <c r="AA16" s="33" t="n">
        <v>28</v>
      </c>
    </row>
    <row r="17" ht="15" customHeight="1">
      <c r="A17" s="32" t="inlineStr">
        <is>
          <t>Other</t>
        </is>
      </c>
      <c r="B17" s="33" t="n">
        <v>3</v>
      </c>
      <c r="C17" s="33" t="n">
        <v>3</v>
      </c>
      <c r="D17" s="33" t="n">
        <v>3</v>
      </c>
      <c r="E17" s="33" t="n">
        <v>4</v>
      </c>
      <c r="F17" s="33" t="n">
        <v>4</v>
      </c>
      <c r="G17" s="33" t="n">
        <v>3</v>
      </c>
      <c r="H17" s="33" t="n">
        <v>3</v>
      </c>
      <c r="I17" s="33" t="n">
        <v>4</v>
      </c>
      <c r="J17" s="33" t="n">
        <v>4</v>
      </c>
      <c r="K17" s="33" t="n">
        <v>4</v>
      </c>
      <c r="L17" s="33" t="n">
        <v>4</v>
      </c>
      <c r="M17" s="33" t="n">
        <v>3</v>
      </c>
      <c r="N17" s="33" t="n">
        <v>3</v>
      </c>
      <c r="O17" s="33" t="n">
        <v>3</v>
      </c>
      <c r="P17" s="33" t="n">
        <v>5</v>
      </c>
      <c r="Q17" s="33" t="n">
        <v>4</v>
      </c>
      <c r="R17" s="33" t="n">
        <v>4</v>
      </c>
      <c r="S17" s="33" t="n">
        <v>4</v>
      </c>
      <c r="T17" s="33" t="n">
        <v>4</v>
      </c>
      <c r="U17" s="33" t="n">
        <v>4</v>
      </c>
      <c r="V17" s="33" t="n">
        <v>5</v>
      </c>
      <c r="W17" s="33" t="n">
        <v>5</v>
      </c>
      <c r="X17" s="33" t="n">
        <v>6</v>
      </c>
      <c r="Y17" s="33" t="n">
        <v>5</v>
      </c>
      <c r="Z17" s="33" t="n">
        <v>4</v>
      </c>
      <c r="AA17" s="33" t="n">
        <v>5</v>
      </c>
    </row>
    <row r="18" ht="15" customHeight="1">
      <c r="A18" s="45" t="inlineStr">
        <is>
          <t>Total Domestic Consumption</t>
        </is>
      </c>
      <c r="B18" s="37" t="n">
        <v>497</v>
      </c>
      <c r="C18" s="37" t="n">
        <v>541</v>
      </c>
      <c r="D18" s="37" t="n">
        <v>498</v>
      </c>
      <c r="E18" s="37" t="n">
        <v>600</v>
      </c>
      <c r="F18" s="37" t="n">
        <v>646</v>
      </c>
      <c r="G18" s="37" t="n">
        <v>589</v>
      </c>
      <c r="H18" s="37" t="n">
        <v>576</v>
      </c>
      <c r="I18" s="37" t="n">
        <v>675</v>
      </c>
      <c r="J18" s="37" t="n">
        <v>706.0599999999999</v>
      </c>
      <c r="K18" s="37" t="n">
        <v>679.9</v>
      </c>
      <c r="L18" s="37" t="n">
        <v>719.0599999999999</v>
      </c>
      <c r="M18" s="37" t="n">
        <v>678.36</v>
      </c>
      <c r="N18" s="37" t="n">
        <v>656.229</v>
      </c>
      <c r="O18" s="37" t="n">
        <v>717</v>
      </c>
      <c r="P18" s="37" t="n">
        <v>877</v>
      </c>
      <c r="Q18" s="37" t="n">
        <v>840.34</v>
      </c>
      <c r="R18" s="37" t="n">
        <v>787</v>
      </c>
      <c r="S18" s="37" t="n">
        <v>810.7629700000001</v>
      </c>
      <c r="T18" s="37" t="n">
        <v>837.466194</v>
      </c>
      <c r="U18" s="37" t="n">
        <v>866.95406</v>
      </c>
      <c r="V18" s="37" t="n">
        <v>933.3709999999999</v>
      </c>
      <c r="W18" s="37" t="n">
        <v>958.1130000000001</v>
      </c>
      <c r="X18" s="37" t="n">
        <v>1006.906</v>
      </c>
      <c r="Y18" s="37" t="n">
        <v>869.95</v>
      </c>
      <c r="Z18" s="37" t="n">
        <v>773.561</v>
      </c>
      <c r="AA18" s="37" t="n">
        <v>889.337</v>
      </c>
      <c r="AB18" t="n">
        <v>941.9504466736801</v>
      </c>
    </row>
    <row r="19" ht="15" customHeight="1">
      <c r="A19" s="41" t="inlineStr">
        <is>
          <t>Balance</t>
        </is>
      </c>
      <c r="B19" s="42" t="n">
        <v>87</v>
      </c>
      <c r="C19" s="42" t="n">
        <v>148</v>
      </c>
      <c r="D19" s="42" t="n">
        <v>166</v>
      </c>
      <c r="E19" s="42" t="n">
        <v>208</v>
      </c>
      <c r="F19" s="42" t="n">
        <v>169</v>
      </c>
      <c r="G19" s="42" t="n">
        <v>114</v>
      </c>
      <c r="H19" s="42" t="n">
        <v>56</v>
      </c>
      <c r="I19" s="42" t="n">
        <v>116.2</v>
      </c>
      <c r="J19" s="42" t="n">
        <v>135.9400000000001</v>
      </c>
      <c r="K19" s="42" t="n">
        <v>188.1</v>
      </c>
      <c r="L19" s="42" t="n">
        <v>143.9400000000001</v>
      </c>
      <c r="M19" s="42" t="n">
        <v>118.64</v>
      </c>
      <c r="N19" s="42" t="n">
        <v>78.57099999999991</v>
      </c>
      <c r="O19" s="42" t="n">
        <v>82</v>
      </c>
      <c r="P19" s="42" t="n">
        <v>202</v>
      </c>
      <c r="Q19" s="42" t="n">
        <v>184.2599999999999</v>
      </c>
      <c r="R19" s="42" t="n">
        <v>158</v>
      </c>
      <c r="S19" s="42" t="n">
        <v>130.3825099999999</v>
      </c>
      <c r="T19" s="42" t="n">
        <v>166.279427964926</v>
      </c>
      <c r="U19" s="42" t="n">
        <v>153.3389000149473</v>
      </c>
      <c r="V19" s="42" t="n">
        <v>276.3960188361414</v>
      </c>
      <c r="W19" s="42" t="n">
        <v>199.3655399999998</v>
      </c>
      <c r="X19" s="42" t="n">
        <v>280.4858765645774</v>
      </c>
      <c r="Y19" s="42" t="n">
        <v>311.6548109797698</v>
      </c>
      <c r="Z19" s="42" t="n">
        <v>211.5040286021414</v>
      </c>
      <c r="AA19" s="42" t="n">
        <v>205.1339073789982</v>
      </c>
    </row>
    <row r="20" ht="15" customHeight="1">
      <c r="A20" s="34" t="inlineStr">
        <is>
          <t>Exportable surplus</t>
        </is>
      </c>
      <c r="B20" s="33" t="n">
        <v>46</v>
      </c>
      <c r="C20" s="33" t="n">
        <v>111</v>
      </c>
      <c r="D20" s="33" t="n">
        <v>122</v>
      </c>
      <c r="E20" s="33" t="n">
        <v>160</v>
      </c>
      <c r="F20" s="33" t="n">
        <v>119</v>
      </c>
      <c r="G20" s="33" t="n">
        <v>68</v>
      </c>
      <c r="H20" s="33" t="n">
        <v>14</v>
      </c>
      <c r="I20" s="33" t="n">
        <v>52</v>
      </c>
      <c r="J20" s="33" t="n">
        <v>72</v>
      </c>
      <c r="K20" s="33" t="n">
        <v>86</v>
      </c>
      <c r="L20" s="33" t="n">
        <v>50</v>
      </c>
      <c r="M20" s="33" t="n">
        <v>54</v>
      </c>
      <c r="N20" s="33" t="n">
        <v>16</v>
      </c>
      <c r="O20" s="33" t="n">
        <v>13</v>
      </c>
      <c r="P20" s="33" t="n">
        <v>36</v>
      </c>
      <c r="Q20" s="33" t="n">
        <v>77</v>
      </c>
      <c r="R20" s="33" t="n">
        <v>65</v>
      </c>
      <c r="S20" s="33" t="n">
        <v>20.63277000000001</v>
      </c>
      <c r="T20" s="33" t="n">
        <v>28.45754</v>
      </c>
      <c r="U20" s="33" t="n">
        <v>37.06753</v>
      </c>
      <c r="V20" s="33" t="n">
        <v>119.95327</v>
      </c>
      <c r="W20" s="33" t="n">
        <v>41.07866</v>
      </c>
      <c r="X20" s="33" t="n">
        <v>123.067</v>
      </c>
      <c r="Y20" s="33" t="n">
        <v>171.94526</v>
      </c>
      <c r="Z20" s="33" t="n">
        <v>116.37593</v>
      </c>
      <c r="AA20" s="33" t="n">
        <v>63.15085999999998</v>
      </c>
    </row>
    <row r="21" ht="15" customHeight="1">
      <c r="A21" s="46" t="inlineStr">
        <is>
          <t>Commercial End-Season Stocks</t>
        </is>
      </c>
      <c r="B21" s="42" t="n">
        <v>41</v>
      </c>
      <c r="C21" s="42" t="n">
        <v>37</v>
      </c>
      <c r="D21" s="42" t="n">
        <v>44</v>
      </c>
      <c r="E21" s="42" t="n">
        <v>48</v>
      </c>
      <c r="F21" s="42" t="n">
        <v>50</v>
      </c>
      <c r="G21" s="42" t="n">
        <v>46</v>
      </c>
      <c r="H21" s="42" t="n">
        <v>42.2</v>
      </c>
      <c r="I21" s="42" t="n">
        <v>64</v>
      </c>
      <c r="J21" s="42" t="n">
        <v>64</v>
      </c>
      <c r="K21" s="42" t="n">
        <v>102</v>
      </c>
      <c r="L21" s="42" t="n">
        <v>94</v>
      </c>
      <c r="M21" s="42" t="n">
        <v>64.8</v>
      </c>
      <c r="N21" s="42" t="n">
        <v>63</v>
      </c>
      <c r="O21" s="42" t="n">
        <v>69</v>
      </c>
      <c r="P21" s="42" t="n">
        <v>166</v>
      </c>
      <c r="Q21" s="42" t="n">
        <v>107</v>
      </c>
      <c r="R21" s="42" t="n">
        <v>93.36</v>
      </c>
      <c r="S21" s="42" t="n">
        <v>110</v>
      </c>
      <c r="T21" s="42" t="n">
        <v>137.8898400149472</v>
      </c>
      <c r="U21" s="42" t="n">
        <v>116.080420636521</v>
      </c>
      <c r="V21" s="42" t="n">
        <v>106.486</v>
      </c>
      <c r="W21" s="42" t="n">
        <v>147.1567956935473</v>
      </c>
      <c r="X21" s="42" t="n">
        <v>156.927</v>
      </c>
      <c r="Y21" s="42" t="n">
        <v>139.5771088708439</v>
      </c>
      <c r="Z21" s="42" t="n">
        <v>95.19102580003191</v>
      </c>
      <c r="AA21" s="42" t="n">
        <v>140.6784433504359</v>
      </c>
    </row>
    <row r="22" ht="15" customHeight="1">
      <c r="A22" s="35" t="inlineStr">
        <is>
          <t>Residual (f)</t>
        </is>
      </c>
      <c r="B22" s="33" t="inlineStr">
        <is>
          <t>n/a</t>
        </is>
      </c>
      <c r="C22" s="33" t="inlineStr">
        <is>
          <t>n/a</t>
        </is>
      </c>
      <c r="D22" s="33" t="inlineStr">
        <is>
          <t>n/a</t>
        </is>
      </c>
      <c r="E22" s="33" t="inlineStr">
        <is>
          <t>n/a</t>
        </is>
      </c>
      <c r="F22" s="33" t="inlineStr">
        <is>
          <t>n/a</t>
        </is>
      </c>
      <c r="G22" s="33" t="inlineStr">
        <is>
          <t>n/a</t>
        </is>
      </c>
      <c r="H22" s="33" t="inlineStr">
        <is>
          <t>n/a</t>
        </is>
      </c>
      <c r="I22" s="33" t="inlineStr">
        <is>
          <t>n/a</t>
        </is>
      </c>
      <c r="J22" s="33" t="inlineStr">
        <is>
          <t>n/a</t>
        </is>
      </c>
      <c r="K22" s="33" t="inlineStr">
        <is>
          <t>n/a</t>
        </is>
      </c>
      <c r="L22" s="33" t="inlineStr">
        <is>
          <t>n/a</t>
        </is>
      </c>
      <c r="M22" s="33" t="inlineStr">
        <is>
          <t>n/a</t>
        </is>
      </c>
      <c r="N22" s="33" t="inlineStr">
        <is>
          <t>n/a</t>
        </is>
      </c>
      <c r="O22" s="33" t="inlineStr">
        <is>
          <t>n/a</t>
        </is>
      </c>
      <c r="P22" s="33" t="inlineStr">
        <is>
          <t>n/a</t>
        </is>
      </c>
      <c r="Q22" s="33" t="inlineStr">
        <is>
          <t>n/a</t>
        </is>
      </c>
      <c r="R22" s="33" t="inlineStr">
        <is>
          <t>n/a</t>
        </is>
      </c>
      <c r="S22" s="33" t="n"/>
      <c r="T22" s="33" t="n"/>
      <c r="U22" s="33" t="n"/>
      <c r="V22" s="33" t="n">
        <v>49.9567488361414</v>
      </c>
      <c r="W22" s="33" t="n">
        <v>11.13008430645249</v>
      </c>
      <c r="X22" s="33" t="n"/>
      <c r="Y22" s="33" t="n"/>
      <c r="Z22" s="33" t="n"/>
      <c r="AA22" s="33" t="n">
        <v>1.304604028562352</v>
      </c>
    </row>
    <row r="23">
      <c r="A23" s="3"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row>
  </sheetData>
  <mergeCells count="1">
    <mergeCell ref="A2:L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2" display="Human and Industrial Consumption (a)" r:id="rId4"/>
    <hyperlink xmlns:r="http://schemas.openxmlformats.org/officeDocument/2006/relationships" ref="A14" r:id="rId5"/>
    <hyperlink xmlns:r="http://schemas.openxmlformats.org/officeDocument/2006/relationships" ref="A20" r:id="rId6"/>
    <hyperlink xmlns:r="http://schemas.openxmlformats.org/officeDocument/2006/relationships" ref="A21" r:id="rId7"/>
  </hyperlinks>
  <pageMargins left="0.7" right="0.7" top="0.75" bottom="0.75" header="0.3" footer="0.3"/>
  <pageSetup orientation="portrait" paperSize="9"/>
  <drawing xmlns:r="http://schemas.openxmlformats.org/officeDocument/2006/relationships" r:id="rId8"/>
</worksheet>
</file>

<file path=xl/worksheets/sheet5.xml><?xml version="1.0" encoding="utf-8"?>
<worksheet xmlns="http://schemas.openxmlformats.org/spreadsheetml/2006/main">
  <sheetPr>
    <outlinePr summaryBelow="1" summaryRight="1"/>
    <pageSetUpPr/>
  </sheetPr>
  <dimension ref="A2:AB22"/>
  <sheetViews>
    <sheetView showGridLines="0" zoomScale="80" zoomScaleNormal="80" workbookViewId="0">
      <pane xSplit="1" ySplit="7" topLeftCell="M8" activePane="bottomRight" state="frozen"/>
      <selection pane="topRight" activeCell="B1" sqref="B1"/>
      <selection pane="bottomLeft" activeCell="A8" sqref="A8"/>
      <selection pane="bottomRight" activeCell="A1" sqref="A1"/>
    </sheetView>
  </sheetViews>
  <sheetFormatPr baseColWidth="8" defaultColWidth="9.1796875" defaultRowHeight="14"/>
  <cols>
    <col width="36.81640625" customWidth="1" style="1" min="1" max="1"/>
    <col width="11.7265625" customWidth="1" style="1" min="2" max="28"/>
    <col width="9.1796875" customWidth="1" style="1" min="29" max="16384"/>
  </cols>
  <sheetData>
    <row r="1" ht="27" customHeight="1"/>
    <row r="2" ht="20" customHeight="1">
      <c r="A2" s="52" t="inlineStr">
        <is>
          <t>Historic UK cereal supply and demand estimates - Maize</t>
        </is>
      </c>
      <c r="B2" s="58" t="n"/>
      <c r="C2" s="58" t="n"/>
      <c r="D2" s="58" t="n"/>
      <c r="E2" s="58" t="n"/>
      <c r="F2" s="58" t="n"/>
      <c r="G2" s="58" t="n"/>
      <c r="H2" s="58" t="n"/>
      <c r="I2" s="58" t="n"/>
      <c r="J2" s="58" t="n"/>
      <c r="K2" s="58" t="n"/>
      <c r="L2" s="58" t="n"/>
    </row>
    <row r="3" ht="15.5" customHeight="1">
      <c r="A3" s="9" t="inlineStr">
        <is>
          <t>Source: AHDB, Defra</t>
        </is>
      </c>
    </row>
    <row r="4" ht="15.5" customHeight="1">
      <c r="A4" s="10" t="inlineStr">
        <is>
          <t>Units: Thousand tonnes (Kt)</t>
        </is>
      </c>
    </row>
    <row r="5" ht="15.5" customHeight="1">
      <c r="A5" s="12">
        <f>'Total Cereals'!A5</f>
        <v/>
      </c>
    </row>
    <row r="6" ht="14.5" customHeight="1">
      <c r="A6" s="2" t="n"/>
      <c r="B6" s="6" t="n"/>
      <c r="C6" s="6" t="n"/>
      <c r="D6" s="6" t="n"/>
      <c r="E6" s="6" t="n"/>
      <c r="F6" s="6" t="n"/>
      <c r="G6" s="6" t="n"/>
      <c r="H6" s="6" t="n"/>
      <c r="I6" s="6" t="n"/>
      <c r="J6" s="6" t="n"/>
      <c r="K6" s="6" t="n"/>
      <c r="L6" s="6" t="n"/>
      <c r="M6" s="6" t="n"/>
      <c r="N6" s="6" t="n"/>
      <c r="O6" s="6" t="n"/>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c r="AB7" t="inlineStr">
        <is>
          <t>2025/26</t>
        </is>
      </c>
    </row>
    <row r="8" ht="15" customHeight="1">
      <c r="A8" s="30" t="inlineStr">
        <is>
          <t>Opening Stocks</t>
        </is>
      </c>
      <c r="B8" s="31" t="n">
        <v>40</v>
      </c>
      <c r="C8" s="31" t="n">
        <v>37</v>
      </c>
      <c r="D8" s="31" t="n">
        <v>34</v>
      </c>
      <c r="E8" s="31" t="n">
        <v>35</v>
      </c>
      <c r="F8" s="31" t="n">
        <v>25</v>
      </c>
      <c r="G8" s="31" t="n">
        <v>43</v>
      </c>
      <c r="H8" s="31" t="n">
        <v>40</v>
      </c>
      <c r="I8" s="31" t="n">
        <v>43</v>
      </c>
      <c r="J8" s="31" t="n">
        <v>80.5</v>
      </c>
      <c r="K8" s="31" t="n">
        <v>94</v>
      </c>
      <c r="L8" s="31" t="n">
        <v>102</v>
      </c>
      <c r="M8" s="31" t="n">
        <v>62</v>
      </c>
      <c r="N8" s="31" t="n">
        <v>110.5</v>
      </c>
      <c r="O8" s="31" t="n">
        <v>149</v>
      </c>
      <c r="P8" s="31" t="n">
        <v>216</v>
      </c>
      <c r="Q8" s="31" t="n">
        <v>259.0935401064842</v>
      </c>
      <c r="R8" s="31" t="n">
        <v>309</v>
      </c>
      <c r="S8" s="31" t="n">
        <v>147.8</v>
      </c>
      <c r="T8" s="31" t="n">
        <v>271</v>
      </c>
      <c r="U8" s="31" t="n">
        <v>246.639446</v>
      </c>
      <c r="V8" s="31" t="n">
        <v>313.277563084223</v>
      </c>
      <c r="W8" s="31" t="n">
        <v>222.02841</v>
      </c>
      <c r="X8" s="31" t="n">
        <v>210.5776475863731</v>
      </c>
      <c r="Y8" s="31" t="n">
        <v>248.29502</v>
      </c>
      <c r="Z8" s="31" t="n">
        <v>145.1337787320592</v>
      </c>
      <c r="AA8" s="31" t="n">
        <v>200.263</v>
      </c>
    </row>
    <row r="9" ht="15" customHeight="1">
      <c r="A9" s="30" t="inlineStr">
        <is>
          <t>Production</t>
        </is>
      </c>
      <c r="B9" s="31" t="n">
        <v>0</v>
      </c>
      <c r="C9" s="31" t="n">
        <v>0</v>
      </c>
      <c r="D9" s="31" t="n">
        <v>0</v>
      </c>
      <c r="E9" s="31" t="n">
        <v>0</v>
      </c>
      <c r="F9" s="31" t="n">
        <v>0</v>
      </c>
      <c r="G9" s="31" t="n">
        <v>0</v>
      </c>
      <c r="H9" s="31" t="n">
        <v>0</v>
      </c>
      <c r="I9" s="31" t="n">
        <v>0</v>
      </c>
      <c r="J9" s="31" t="n">
        <v>0</v>
      </c>
      <c r="K9" s="31" t="n">
        <v>0</v>
      </c>
      <c r="L9" s="31" t="n">
        <v>0</v>
      </c>
      <c r="M9" s="31" t="n">
        <v>0</v>
      </c>
      <c r="N9" s="31" t="n">
        <v>0</v>
      </c>
      <c r="O9" s="31" t="n">
        <v>0</v>
      </c>
      <c r="P9" s="31" t="n">
        <v>0</v>
      </c>
      <c r="Q9" s="31" t="n">
        <v>0</v>
      </c>
      <c r="R9" s="31" t="n">
        <v>0</v>
      </c>
      <c r="S9" s="31" t="n">
        <v>0</v>
      </c>
      <c r="T9" s="31" t="n">
        <v>0</v>
      </c>
      <c r="U9" s="31" t="n">
        <v>0</v>
      </c>
      <c r="V9" s="31" t="n">
        <v>0</v>
      </c>
      <c r="W9" s="31" t="n">
        <v>0</v>
      </c>
      <c r="X9" s="31" t="n">
        <v>0</v>
      </c>
      <c r="Y9" s="31" t="n">
        <v>0</v>
      </c>
      <c r="Z9" s="31" t="n">
        <v>0</v>
      </c>
      <c r="AA9" s="31" t="n">
        <v>0</v>
      </c>
    </row>
    <row r="10" ht="15" customHeight="1">
      <c r="A10" s="30" t="inlineStr">
        <is>
          <t>Imports</t>
        </is>
      </c>
      <c r="B10" s="31" t="n">
        <v>1532</v>
      </c>
      <c r="C10" s="31" t="n">
        <v>1560</v>
      </c>
      <c r="D10" s="31" t="n">
        <v>1578</v>
      </c>
      <c r="E10" s="31" t="n">
        <v>1502</v>
      </c>
      <c r="F10" s="31" t="n">
        <v>1572</v>
      </c>
      <c r="G10" s="31" t="n">
        <v>1444</v>
      </c>
      <c r="H10" s="31" t="n">
        <v>1298</v>
      </c>
      <c r="I10" s="31" t="n">
        <v>1369.7</v>
      </c>
      <c r="J10" s="31" t="n">
        <v>1364.9</v>
      </c>
      <c r="K10" s="31" t="n">
        <v>969</v>
      </c>
      <c r="L10" s="31" t="n">
        <v>922</v>
      </c>
      <c r="M10" s="31" t="n">
        <v>1014.5</v>
      </c>
      <c r="N10" s="31" t="n">
        <v>991.7</v>
      </c>
      <c r="O10" s="31" t="n">
        <v>1693</v>
      </c>
      <c r="P10" s="31" t="n">
        <v>2334</v>
      </c>
      <c r="Q10" s="31" t="n">
        <v>1856</v>
      </c>
      <c r="R10" s="31" t="n">
        <v>1742</v>
      </c>
      <c r="S10" s="31" t="n">
        <v>2007.05937</v>
      </c>
      <c r="T10" s="31" t="n">
        <v>2023.78059</v>
      </c>
      <c r="U10" s="31" t="n">
        <v>2825.465</v>
      </c>
      <c r="V10" s="31" t="n">
        <v>2376.048479999999</v>
      </c>
      <c r="W10" s="31" t="n">
        <v>2856.342</v>
      </c>
      <c r="X10" s="31" t="n">
        <v>2206.731</v>
      </c>
      <c r="Y10" s="31" t="n">
        <v>2122.88</v>
      </c>
      <c r="Z10" s="31" t="n">
        <v>2641.97705</v>
      </c>
      <c r="AA10" s="31" t="n">
        <v>3103.42179</v>
      </c>
    </row>
    <row r="11" ht="15" customHeight="1">
      <c r="A11" s="41" t="inlineStr">
        <is>
          <t>Total Availability</t>
        </is>
      </c>
      <c r="B11" s="42" t="n">
        <v>1572</v>
      </c>
      <c r="C11" s="42" t="n">
        <v>1597</v>
      </c>
      <c r="D11" s="42" t="n">
        <v>1612</v>
      </c>
      <c r="E11" s="42" t="n">
        <v>1537</v>
      </c>
      <c r="F11" s="42" t="n">
        <v>1597</v>
      </c>
      <c r="G11" s="42" t="n">
        <v>1487</v>
      </c>
      <c r="H11" s="42" t="n">
        <v>1338</v>
      </c>
      <c r="I11" s="42" t="n">
        <v>1412.7</v>
      </c>
      <c r="J11" s="42" t="n">
        <v>1445.4</v>
      </c>
      <c r="K11" s="42" t="n">
        <v>1063</v>
      </c>
      <c r="L11" s="42" t="n">
        <v>1024</v>
      </c>
      <c r="M11" s="42" t="n">
        <v>1076.5</v>
      </c>
      <c r="N11" s="42" t="n">
        <v>1102.2</v>
      </c>
      <c r="O11" s="42" t="n">
        <v>1842</v>
      </c>
      <c r="P11" s="42" t="n">
        <v>2550</v>
      </c>
      <c r="Q11" s="42" t="n">
        <v>2115.093540106484</v>
      </c>
      <c r="R11" s="42" t="n">
        <v>2051</v>
      </c>
      <c r="S11" s="42" t="n">
        <v>2154.859370000001</v>
      </c>
      <c r="T11" s="42" t="n">
        <v>2294.78059</v>
      </c>
      <c r="U11" s="42" t="n">
        <v>3072.104446</v>
      </c>
      <c r="V11" s="42" t="n">
        <v>2689.327563084223</v>
      </c>
      <c r="W11" s="42" t="n">
        <v>3078.37041</v>
      </c>
      <c r="X11" s="42" t="n">
        <v>2417.308647586373</v>
      </c>
      <c r="Y11" s="42" t="n">
        <v>2371.17502</v>
      </c>
      <c r="Z11" s="42" t="n">
        <v>2787.110828732059</v>
      </c>
      <c r="AA11" s="42" t="n">
        <v>3303.68479</v>
      </c>
    </row>
    <row r="12" ht="15" customHeight="1">
      <c r="A12" s="34" t="inlineStr">
        <is>
          <t>Human and Industrial Consumption</t>
        </is>
      </c>
      <c r="B12" s="33" t="n">
        <v>1108</v>
      </c>
      <c r="C12" s="33" t="n">
        <v>1125</v>
      </c>
      <c r="D12" s="33" t="n">
        <v>1108</v>
      </c>
      <c r="E12" s="33" t="n">
        <v>1018</v>
      </c>
      <c r="F12" s="33" t="n">
        <v>1021</v>
      </c>
      <c r="G12" s="33" t="n">
        <v>912</v>
      </c>
      <c r="H12" s="33" t="n">
        <v>755</v>
      </c>
      <c r="I12" s="33" t="n">
        <v>767</v>
      </c>
      <c r="J12" s="33" t="n">
        <v>515</v>
      </c>
      <c r="K12" s="33" t="n">
        <v>305</v>
      </c>
      <c r="L12" s="33" t="n">
        <v>304</v>
      </c>
      <c r="M12" s="33" t="n">
        <v>295</v>
      </c>
      <c r="N12" s="33" t="n">
        <v>278</v>
      </c>
      <c r="O12" s="33" t="n">
        <v>522</v>
      </c>
      <c r="P12" s="33" t="n">
        <v>679.4</v>
      </c>
      <c r="Q12" s="33" t="n">
        <v>566</v>
      </c>
      <c r="R12" s="33" t="n">
        <v>465</v>
      </c>
      <c r="S12" s="33" t="n">
        <v>570.1240200000001</v>
      </c>
      <c r="T12" s="33" t="n">
        <v>642.79404</v>
      </c>
      <c r="U12" s="33" t="n">
        <v>799.84604</v>
      </c>
      <c r="V12" s="33" t="n">
        <v>800.15427</v>
      </c>
      <c r="W12" s="33" t="n">
        <v>1010.87746</v>
      </c>
      <c r="X12" s="33" t="n">
        <v>859.13596</v>
      </c>
      <c r="Y12" s="33" t="n">
        <v>800.68098</v>
      </c>
      <c r="Z12" s="33" t="n">
        <v>921.5725</v>
      </c>
      <c r="AA12" s="33" t="n">
        <v>1057.3485</v>
      </c>
    </row>
    <row r="13" ht="15" customHeight="1">
      <c r="A13" s="32" t="inlineStr">
        <is>
          <t>(of which home grown)</t>
        </is>
      </c>
      <c r="B13" s="33" t="n">
        <v>0</v>
      </c>
      <c r="C13" s="33" t="n">
        <v>0</v>
      </c>
      <c r="D13" s="33" t="n">
        <v>0</v>
      </c>
      <c r="E13" s="33" t="n">
        <v>0</v>
      </c>
      <c r="F13" s="33" t="n">
        <v>0</v>
      </c>
      <c r="G13" s="33" t="n">
        <v>0</v>
      </c>
      <c r="H13" s="33" t="n">
        <v>0</v>
      </c>
      <c r="I13" s="33" t="n">
        <v>0</v>
      </c>
      <c r="J13" s="33" t="n">
        <v>0</v>
      </c>
      <c r="K13" s="33" t="n">
        <v>0</v>
      </c>
      <c r="L13" s="33" t="n">
        <v>0</v>
      </c>
      <c r="M13" s="33" t="n">
        <v>0</v>
      </c>
      <c r="N13" s="33" t="n">
        <v>0</v>
      </c>
      <c r="O13" s="33" t="n">
        <v>0</v>
      </c>
      <c r="P13" s="33" t="n">
        <v>0</v>
      </c>
      <c r="Q13" s="33" t="n">
        <v>0</v>
      </c>
      <c r="R13" s="33" t="n">
        <v>0</v>
      </c>
      <c r="S13" s="33" t="n">
        <v>0</v>
      </c>
      <c r="T13" s="33" t="n">
        <v>0</v>
      </c>
      <c r="U13" s="33" t="n">
        <v>0</v>
      </c>
      <c r="V13" s="33" t="n">
        <v>0</v>
      </c>
      <c r="W13" s="33" t="n">
        <v>0</v>
      </c>
      <c r="X13" s="33" t="n">
        <v>0</v>
      </c>
      <c r="Y13" s="33" t="n">
        <v>0</v>
      </c>
      <c r="Z13" s="33" t="n">
        <v>0</v>
      </c>
      <c r="AA13" s="33" t="n">
        <v>0</v>
      </c>
    </row>
    <row r="14" ht="15" customHeight="1">
      <c r="A14" s="34" t="inlineStr">
        <is>
          <t>Animal Feed</t>
        </is>
      </c>
      <c r="B14" s="33" t="n">
        <v>298</v>
      </c>
      <c r="C14" s="33" t="n">
        <v>309</v>
      </c>
      <c r="D14" s="33" t="n">
        <v>345</v>
      </c>
      <c r="E14" s="33" t="n">
        <v>367</v>
      </c>
      <c r="F14" s="33" t="n">
        <v>404</v>
      </c>
      <c r="G14" s="33" t="n">
        <v>400</v>
      </c>
      <c r="H14" s="33" t="n">
        <v>405</v>
      </c>
      <c r="I14" s="33" t="n">
        <v>435</v>
      </c>
      <c r="J14" s="33" t="n">
        <v>705</v>
      </c>
      <c r="K14" s="33" t="n">
        <v>528</v>
      </c>
      <c r="L14" s="33" t="n">
        <v>529</v>
      </c>
      <c r="M14" s="33" t="n">
        <v>523</v>
      </c>
      <c r="N14" s="33" t="n">
        <v>531</v>
      </c>
      <c r="O14" s="33" t="n">
        <v>1036</v>
      </c>
      <c r="P14" s="33" t="n">
        <v>1398.4</v>
      </c>
      <c r="Q14" s="33" t="n">
        <v>1144</v>
      </c>
      <c r="R14" s="33" t="n">
        <v>1310</v>
      </c>
      <c r="S14" s="33" t="n">
        <v>1134.987</v>
      </c>
      <c r="T14" s="33" t="n">
        <v>1230.229</v>
      </c>
      <c r="U14" s="33" t="n">
        <v>1572.671</v>
      </c>
      <c r="V14" s="33" t="n">
        <v>1362.156</v>
      </c>
      <c r="W14" s="33" t="n">
        <v>1536.036</v>
      </c>
      <c r="X14" s="33" t="n">
        <v>1171.581</v>
      </c>
      <c r="Y14" s="33" t="n">
        <v>1234.092495604075</v>
      </c>
      <c r="Z14" s="33" t="n">
        <v>1348.368654005847</v>
      </c>
      <c r="AA14" s="33" t="n">
        <v>1661.735783662787</v>
      </c>
    </row>
    <row r="15" ht="15" customHeight="1">
      <c r="A15" s="32" t="inlineStr">
        <is>
          <t>(of which home grown)</t>
        </is>
      </c>
      <c r="B15" s="33" t="n">
        <v>0</v>
      </c>
      <c r="C15" s="33" t="n">
        <v>0</v>
      </c>
      <c r="D15" s="33" t="n">
        <v>0</v>
      </c>
      <c r="E15" s="33" t="n">
        <v>0</v>
      </c>
      <c r="F15" s="33" t="n">
        <v>0</v>
      </c>
      <c r="G15" s="33" t="n">
        <v>0</v>
      </c>
      <c r="H15" s="33" t="n">
        <v>0</v>
      </c>
      <c r="I15" s="33" t="n">
        <v>0</v>
      </c>
      <c r="J15" s="33" t="n">
        <v>0</v>
      </c>
      <c r="K15" s="33" t="n">
        <v>0</v>
      </c>
      <c r="L15" s="33" t="n">
        <v>0</v>
      </c>
      <c r="M15" s="33" t="n">
        <v>0</v>
      </c>
      <c r="N15" s="33" t="n">
        <v>0</v>
      </c>
      <c r="O15" s="33" t="n">
        <v>0</v>
      </c>
      <c r="P15" s="33" t="n">
        <v>0</v>
      </c>
      <c r="Q15" s="33" t="n">
        <v>0</v>
      </c>
      <c r="R15" s="33" t="n">
        <v>0</v>
      </c>
      <c r="S15" s="33" t="n">
        <v>0</v>
      </c>
      <c r="T15" s="33" t="n">
        <v>0</v>
      </c>
      <c r="U15" s="33" t="n">
        <v>0</v>
      </c>
      <c r="V15" s="33" t="n">
        <v>0</v>
      </c>
      <c r="W15" s="33" t="n">
        <v>0</v>
      </c>
      <c r="X15" s="33" t="n">
        <v>0</v>
      </c>
      <c r="Y15" s="33" t="n">
        <v>0</v>
      </c>
      <c r="Z15" s="33" t="n">
        <v>0</v>
      </c>
      <c r="AA15" s="33" t="n">
        <v>0</v>
      </c>
    </row>
    <row r="16" ht="15" customHeight="1">
      <c r="A16" s="35" t="inlineStr">
        <is>
          <t>Seed (b)</t>
        </is>
      </c>
      <c r="B16" s="33" t="n">
        <v>0</v>
      </c>
      <c r="C16" s="33" t="n">
        <v>0</v>
      </c>
      <c r="D16" s="33" t="n">
        <v>0</v>
      </c>
      <c r="E16" s="33" t="n">
        <v>0</v>
      </c>
      <c r="F16" s="33" t="n">
        <v>0</v>
      </c>
      <c r="G16" s="33" t="n">
        <v>0</v>
      </c>
      <c r="H16" s="33" t="n">
        <v>0</v>
      </c>
      <c r="I16" s="33" t="n">
        <v>0</v>
      </c>
      <c r="J16" s="33" t="n">
        <v>0</v>
      </c>
      <c r="K16" s="33" t="n">
        <v>0</v>
      </c>
      <c r="L16" s="33" t="n">
        <v>0</v>
      </c>
      <c r="M16" s="33" t="n">
        <v>0</v>
      </c>
      <c r="N16" s="33" t="n">
        <v>0</v>
      </c>
      <c r="O16" s="33" t="n">
        <v>0</v>
      </c>
      <c r="P16" s="33" t="n">
        <v>0</v>
      </c>
      <c r="Q16" s="33" t="n">
        <v>0</v>
      </c>
      <c r="R16" s="33" t="n">
        <v>0</v>
      </c>
      <c r="S16" s="33" t="n">
        <v>0</v>
      </c>
      <c r="T16" s="33" t="n">
        <v>0</v>
      </c>
      <c r="U16" s="33" t="n">
        <v>0</v>
      </c>
      <c r="V16" s="33" t="n">
        <v>0</v>
      </c>
      <c r="W16" s="33" t="n">
        <v>0</v>
      </c>
      <c r="X16" s="33" t="n">
        <v>0</v>
      </c>
      <c r="Y16" s="33" t="n">
        <v>0</v>
      </c>
      <c r="Z16" s="33" t="n">
        <v>0</v>
      </c>
      <c r="AA16" s="33" t="n">
        <v>0</v>
      </c>
    </row>
    <row r="17" ht="15" customHeight="1">
      <c r="A17" s="32" t="inlineStr">
        <is>
          <t>Other (e)</t>
        </is>
      </c>
      <c r="B17" s="33" t="n">
        <v>114</v>
      </c>
      <c r="C17" s="33" t="n">
        <v>114</v>
      </c>
      <c r="D17" s="33" t="n">
        <v>114</v>
      </c>
      <c r="E17" s="33" t="n">
        <v>114</v>
      </c>
      <c r="F17" s="33" t="n">
        <v>114</v>
      </c>
      <c r="G17" s="33" t="n">
        <v>114</v>
      </c>
      <c r="H17" s="33" t="n">
        <v>114</v>
      </c>
      <c r="I17" s="33" t="n">
        <v>114</v>
      </c>
      <c r="J17" s="33" t="n">
        <v>114</v>
      </c>
      <c r="K17" s="33" t="n">
        <v>114</v>
      </c>
      <c r="L17" s="33" t="n">
        <v>114</v>
      </c>
      <c r="M17" s="33" t="n">
        <v>114</v>
      </c>
      <c r="N17" s="33" t="n">
        <v>114</v>
      </c>
      <c r="O17" s="33" t="n">
        <v>4</v>
      </c>
      <c r="P17" s="33" t="n">
        <v>5</v>
      </c>
      <c r="Q17" s="33" t="n">
        <v>4</v>
      </c>
      <c r="R17" s="33" t="n">
        <v>9</v>
      </c>
      <c r="S17" s="33" t="n">
        <v>4</v>
      </c>
      <c r="T17" s="33" t="n">
        <v>4</v>
      </c>
      <c r="U17" s="33" t="n">
        <v>4</v>
      </c>
      <c r="V17" s="33" t="n">
        <v>4</v>
      </c>
      <c r="W17" s="33" t="n">
        <v>4</v>
      </c>
      <c r="X17" s="33" t="n">
        <v>4</v>
      </c>
      <c r="Y17" s="33" t="n">
        <v>4</v>
      </c>
      <c r="Z17" s="33" t="n">
        <v>4</v>
      </c>
      <c r="AA17" s="33" t="n">
        <v>4</v>
      </c>
    </row>
    <row r="18" ht="15" customHeight="1">
      <c r="A18" s="45" t="inlineStr">
        <is>
          <t>Total Domestic Consumption</t>
        </is>
      </c>
      <c r="B18" s="37" t="n">
        <v>1520</v>
      </c>
      <c r="C18" s="37" t="n">
        <v>1548</v>
      </c>
      <c r="D18" s="37" t="n">
        <v>1567</v>
      </c>
      <c r="E18" s="37" t="n">
        <v>1499</v>
      </c>
      <c r="F18" s="37" t="n">
        <v>1539</v>
      </c>
      <c r="G18" s="37" t="n">
        <v>1426</v>
      </c>
      <c r="H18" s="37" t="n">
        <v>1274</v>
      </c>
      <c r="I18" s="37" t="n">
        <v>1316</v>
      </c>
      <c r="J18" s="37" t="n">
        <v>1334</v>
      </c>
      <c r="K18" s="37" t="n">
        <v>947</v>
      </c>
      <c r="L18" s="37" t="n">
        <v>947</v>
      </c>
      <c r="M18" s="37" t="n">
        <v>932</v>
      </c>
      <c r="N18" s="37" t="n">
        <v>923</v>
      </c>
      <c r="O18" s="37" t="n">
        <v>1562</v>
      </c>
      <c r="P18" s="37" t="n">
        <v>2082.8</v>
      </c>
      <c r="Q18" s="37" t="n">
        <v>1714</v>
      </c>
      <c r="R18" s="37" t="n">
        <v>1784</v>
      </c>
      <c r="S18" s="37" t="n">
        <v>1709.11102</v>
      </c>
      <c r="T18" s="37" t="n">
        <v>1877.02304</v>
      </c>
      <c r="U18" s="37" t="n">
        <v>2376.51704</v>
      </c>
      <c r="V18" s="37" t="n">
        <v>2166.31027</v>
      </c>
      <c r="W18" s="37" t="n">
        <v>2550.91346</v>
      </c>
      <c r="X18" s="37" t="n">
        <v>2034.71696</v>
      </c>
      <c r="Y18" s="37" t="n">
        <v>2038.773475604075</v>
      </c>
      <c r="Z18" s="37" t="n">
        <v>2273.941154005847</v>
      </c>
      <c r="AA18" s="37" t="n">
        <v>2723.084283662787</v>
      </c>
      <c r="AB18" t="n">
        <v>2026.208671436535</v>
      </c>
    </row>
    <row r="19" ht="15" customHeight="1">
      <c r="A19" s="41" t="inlineStr">
        <is>
          <t>Balance</t>
        </is>
      </c>
      <c r="B19" s="42" t="n">
        <v>52</v>
      </c>
      <c r="C19" s="42" t="n">
        <v>49</v>
      </c>
      <c r="D19" s="42" t="n">
        <v>45</v>
      </c>
      <c r="E19" s="42" t="n">
        <v>38</v>
      </c>
      <c r="F19" s="42" t="n">
        <v>58</v>
      </c>
      <c r="G19" s="42" t="n">
        <v>61</v>
      </c>
      <c r="H19" s="42" t="n">
        <v>64</v>
      </c>
      <c r="I19" s="42" t="n">
        <v>96.70000000000005</v>
      </c>
      <c r="J19" s="42" t="n">
        <v>111.4000000000001</v>
      </c>
      <c r="K19" s="42" t="n">
        <v>116</v>
      </c>
      <c r="L19" s="42" t="n">
        <v>77</v>
      </c>
      <c r="M19" s="42" t="n">
        <v>144.5</v>
      </c>
      <c r="N19" s="42" t="n">
        <v>179.2</v>
      </c>
      <c r="O19" s="42" t="n">
        <v>280</v>
      </c>
      <c r="P19" s="42" t="n">
        <v>467</v>
      </c>
      <c r="Q19" s="42" t="n">
        <v>401.0935401064844</v>
      </c>
      <c r="R19" s="42" t="n">
        <v>267</v>
      </c>
      <c r="S19" s="42" t="n">
        <v>445.7483500000003</v>
      </c>
      <c r="T19" s="42" t="n">
        <v>417.7575500000003</v>
      </c>
      <c r="U19" s="42" t="n">
        <v>695.5874060000001</v>
      </c>
      <c r="V19" s="42" t="n">
        <v>523.0172930842227</v>
      </c>
      <c r="W19" s="42" t="n">
        <v>527.4569500000002</v>
      </c>
      <c r="X19" s="42" t="n">
        <v>382.5916875863736</v>
      </c>
      <c r="Y19" s="42" t="n">
        <v>332.4015443959252</v>
      </c>
      <c r="Z19" s="42" t="n">
        <v>513.1696747262117</v>
      </c>
      <c r="AA19" s="42" t="n">
        <v>580.6005063372127</v>
      </c>
    </row>
    <row r="20" ht="15" customHeight="1">
      <c r="A20" s="34" t="inlineStr">
        <is>
          <t>Exportable surplus</t>
        </is>
      </c>
      <c r="B20" s="33" t="n">
        <v>15</v>
      </c>
      <c r="C20" s="33" t="n">
        <v>15</v>
      </c>
      <c r="D20" s="33" t="n">
        <v>10</v>
      </c>
      <c r="E20" s="33" t="n">
        <v>14</v>
      </c>
      <c r="F20" s="33" t="n">
        <v>15</v>
      </c>
      <c r="G20" s="33" t="n">
        <v>21</v>
      </c>
      <c r="H20" s="33" t="n">
        <v>21</v>
      </c>
      <c r="I20" s="33" t="n">
        <v>16.2</v>
      </c>
      <c r="J20" s="33" t="n">
        <v>17.4</v>
      </c>
      <c r="K20" s="33" t="n">
        <v>14</v>
      </c>
      <c r="L20" s="33" t="n">
        <v>15</v>
      </c>
      <c r="M20" s="33" t="n">
        <v>34</v>
      </c>
      <c r="N20" s="33" t="n">
        <v>30</v>
      </c>
      <c r="O20" s="33" t="n">
        <v>64</v>
      </c>
      <c r="P20" s="33" t="n">
        <v>208</v>
      </c>
      <c r="Q20" s="33" t="n">
        <v>92</v>
      </c>
      <c r="R20" s="33" t="n">
        <v>120</v>
      </c>
      <c r="S20" s="33" t="n">
        <v>175.24254</v>
      </c>
      <c r="T20" s="33" t="n">
        <v>170.72532</v>
      </c>
      <c r="U20" s="33" t="n">
        <v>187.922</v>
      </c>
      <c r="V20" s="33" t="n">
        <v>134.65022</v>
      </c>
      <c r="W20" s="33" t="n">
        <v>138.4014</v>
      </c>
      <c r="X20" s="33" t="n">
        <v>134.028</v>
      </c>
      <c r="Y20" s="33" t="n">
        <v>131.16721</v>
      </c>
      <c r="Z20" s="33" t="n">
        <v>167.08829</v>
      </c>
      <c r="AA20" s="33" t="n">
        <v>181.3056599999999</v>
      </c>
    </row>
    <row r="21" ht="15" customHeight="1">
      <c r="A21" s="46" t="inlineStr">
        <is>
          <t>Commercial End-Season Stocks</t>
        </is>
      </c>
      <c r="B21" s="42" t="n">
        <v>37</v>
      </c>
      <c r="C21" s="42" t="n">
        <v>34</v>
      </c>
      <c r="D21" s="42" t="n">
        <v>35</v>
      </c>
      <c r="E21" s="42" t="n">
        <v>24</v>
      </c>
      <c r="F21" s="42" t="n">
        <v>43</v>
      </c>
      <c r="G21" s="42" t="n">
        <v>40</v>
      </c>
      <c r="H21" s="42" t="n">
        <v>43</v>
      </c>
      <c r="I21" s="42" t="n">
        <v>80.5</v>
      </c>
      <c r="J21" s="42" t="n">
        <v>94</v>
      </c>
      <c r="K21" s="42" t="n">
        <v>102</v>
      </c>
      <c r="L21" s="42" t="n">
        <v>62</v>
      </c>
      <c r="M21" s="42" t="n">
        <v>110.5</v>
      </c>
      <c r="N21" s="42" t="n">
        <v>149.2</v>
      </c>
      <c r="O21" s="42" t="n">
        <v>216</v>
      </c>
      <c r="P21" s="42" t="n">
        <v>259</v>
      </c>
      <c r="Q21" s="42" t="n">
        <v>309</v>
      </c>
      <c r="R21" s="42" t="n">
        <v>147.8</v>
      </c>
      <c r="S21" s="42" t="n">
        <v>271</v>
      </c>
      <c r="T21" s="42" t="n">
        <v>246.639446</v>
      </c>
      <c r="U21" s="42" t="n">
        <v>313.2775630842225</v>
      </c>
      <c r="V21" s="42" t="n">
        <v>222.02841</v>
      </c>
      <c r="W21" s="42" t="n">
        <v>210.5776475863731</v>
      </c>
      <c r="X21" s="42" t="n">
        <v>248.29502</v>
      </c>
      <c r="Y21" s="42" t="n">
        <v>145.1337787320592</v>
      </c>
      <c r="Z21" s="42" t="n">
        <v>200.263</v>
      </c>
      <c r="AA21" s="42" t="n">
        <v>196.4368803010487</v>
      </c>
    </row>
    <row r="22" ht="15" customHeight="1">
      <c r="A22" s="35" t="inlineStr">
        <is>
          <t>Residual (f)</t>
        </is>
      </c>
      <c r="B22" s="33" t="inlineStr">
        <is>
          <t>n/a</t>
        </is>
      </c>
      <c r="C22" s="33" t="inlineStr">
        <is>
          <t>n/a</t>
        </is>
      </c>
      <c r="D22" s="33" t="inlineStr">
        <is>
          <t>n/a</t>
        </is>
      </c>
      <c r="E22" s="33" t="inlineStr">
        <is>
          <t>n/a</t>
        </is>
      </c>
      <c r="F22" s="33" t="inlineStr">
        <is>
          <t>n/a</t>
        </is>
      </c>
      <c r="G22" s="33" t="inlineStr">
        <is>
          <t>n/a</t>
        </is>
      </c>
      <c r="H22" s="33" t="inlineStr">
        <is>
          <t>n/a</t>
        </is>
      </c>
      <c r="I22" s="33" t="inlineStr">
        <is>
          <t>n/a</t>
        </is>
      </c>
      <c r="J22" s="33" t="inlineStr">
        <is>
          <t>n/a</t>
        </is>
      </c>
      <c r="K22" s="33" t="inlineStr">
        <is>
          <t>n/a</t>
        </is>
      </c>
      <c r="L22" s="33" t="inlineStr">
        <is>
          <t>n/a</t>
        </is>
      </c>
      <c r="M22" s="33" t="inlineStr">
        <is>
          <t>n/a</t>
        </is>
      </c>
      <c r="N22" s="33" t="inlineStr">
        <is>
          <t>n/a</t>
        </is>
      </c>
      <c r="O22" s="33" t="inlineStr">
        <is>
          <t>n/a</t>
        </is>
      </c>
      <c r="P22" s="33" t="inlineStr">
        <is>
          <t>n/a</t>
        </is>
      </c>
      <c r="Q22" s="33" t="inlineStr">
        <is>
          <t>n/a</t>
        </is>
      </c>
      <c r="R22" s="33" t="inlineStr">
        <is>
          <t>n/a</t>
        </is>
      </c>
      <c r="S22" s="33" t="n">
        <v>0</v>
      </c>
      <c r="T22" s="33" t="n">
        <v>0</v>
      </c>
      <c r="U22" s="33" t="n">
        <v>194.3878429157775</v>
      </c>
      <c r="V22" s="33" t="n">
        <v>166.3386630842227</v>
      </c>
      <c r="W22" s="33" t="n">
        <v>178.4779024136272</v>
      </c>
      <c r="X22" s="33" t="n">
        <v>0.2686675863736241</v>
      </c>
      <c r="Y22" s="33" t="n">
        <v>56.100555663866</v>
      </c>
      <c r="Z22" s="33" t="n">
        <v>145.8183847262117</v>
      </c>
      <c r="AA22" s="33" t="n">
        <v>202.8579660361641</v>
      </c>
    </row>
  </sheetData>
  <mergeCells count="1">
    <mergeCell ref="A2:L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2" display="Human and Industrial Consumption (a)" r:id="rId4"/>
    <hyperlink xmlns:r="http://schemas.openxmlformats.org/officeDocument/2006/relationships" ref="A14" r:id="rId5"/>
    <hyperlink xmlns:r="http://schemas.openxmlformats.org/officeDocument/2006/relationships" ref="A20" r:id="rId6"/>
    <hyperlink xmlns:r="http://schemas.openxmlformats.org/officeDocument/2006/relationships" ref="A21" r:id="rId7"/>
  </hyperlinks>
  <pageMargins left="0.7" right="0.7" top="0.75" bottom="0.75" header="0.3" footer="0.3"/>
  <pageSetup orientation="portrait" paperSize="9"/>
  <drawing xmlns:r="http://schemas.openxmlformats.org/officeDocument/2006/relationships" r:id="rId8"/>
</worksheet>
</file>

<file path=xl/worksheets/sheet6.xml><?xml version="1.0" encoding="utf-8"?>
<worksheet xmlns="http://schemas.openxmlformats.org/spreadsheetml/2006/main">
  <sheetPr>
    <outlinePr summaryBelow="1" summaryRight="1"/>
    <pageSetUpPr/>
  </sheetPr>
  <dimension ref="A2:AB20"/>
  <sheetViews>
    <sheetView showGridLines="0" zoomScale="80" zoomScaleNormal="80" workbookViewId="0">
      <pane xSplit="1" ySplit="7" topLeftCell="B8" activePane="bottomRight" state="frozen"/>
      <selection pane="topRight" activeCell="B1" sqref="B1"/>
      <selection pane="bottomLeft" activeCell="A8" sqref="A8"/>
      <selection pane="bottomRight" activeCell="A1" sqref="A1"/>
    </sheetView>
  </sheetViews>
  <sheetFormatPr baseColWidth="8" defaultColWidth="9.1796875" defaultRowHeight="14"/>
  <cols>
    <col width="70.90625" customWidth="1" style="1" min="1" max="1"/>
    <col width="11.7265625" customWidth="1" style="1" min="2" max="28"/>
    <col width="9.1796875" customWidth="1" style="1" min="29" max="16384"/>
  </cols>
  <sheetData>
    <row r="1" ht="27" customHeight="1"/>
    <row r="2" ht="20" customHeight="1">
      <c r="A2" s="52" t="inlineStr">
        <is>
          <t>Historic UK cereal supply and demand estimates - Other cereals</t>
        </is>
      </c>
      <c r="B2" s="58" t="n"/>
      <c r="C2" s="58" t="n"/>
      <c r="D2" s="58" t="n"/>
      <c r="E2" s="58" t="n"/>
      <c r="F2" s="58" t="n"/>
      <c r="G2" s="58" t="n"/>
      <c r="H2" s="58" t="n"/>
      <c r="I2" s="58" t="n"/>
      <c r="J2" s="58" t="n"/>
      <c r="K2" s="58" t="n"/>
      <c r="L2" s="58" t="n"/>
    </row>
    <row r="3" ht="15.5" customHeight="1">
      <c r="A3" s="9" t="inlineStr">
        <is>
          <t>Source: AHDB, Defra</t>
        </is>
      </c>
    </row>
    <row r="4" ht="15.5" customHeight="1">
      <c r="A4" s="10" t="inlineStr">
        <is>
          <t>Units: Thousand tonnes (Kt)</t>
        </is>
      </c>
    </row>
    <row r="5" ht="15.5" customHeight="1">
      <c r="A5" s="12">
        <f>'Total Cereals'!A5</f>
        <v/>
      </c>
    </row>
    <row r="7" ht="31.5" customFormat="1" customHeight="1" s="13">
      <c r="A7" s="39" t="inlineStr">
        <is>
          <t xml:space="preserve">End-season estimates </t>
        </is>
      </c>
      <c r="B7" s="40" t="inlineStr">
        <is>
          <t>1999/00</t>
        </is>
      </c>
      <c r="C7" s="40" t="inlineStr">
        <is>
          <t>2000/01</t>
        </is>
      </c>
      <c r="D7" s="40" t="inlineStr">
        <is>
          <t>2001/02</t>
        </is>
      </c>
      <c r="E7" s="40" t="inlineStr">
        <is>
          <t>2002/03</t>
        </is>
      </c>
      <c r="F7" s="40" t="inlineStr">
        <is>
          <t>2003/04</t>
        </is>
      </c>
      <c r="G7" s="40" t="inlineStr">
        <is>
          <t>2004/05</t>
        </is>
      </c>
      <c r="H7" s="40" t="inlineStr">
        <is>
          <t>2005/06</t>
        </is>
      </c>
      <c r="I7" s="40" t="inlineStr">
        <is>
          <t>2006/07</t>
        </is>
      </c>
      <c r="J7" s="40" t="inlineStr">
        <is>
          <t>2007/08</t>
        </is>
      </c>
      <c r="K7" s="40" t="inlineStr">
        <is>
          <t>2008/09</t>
        </is>
      </c>
      <c r="L7" s="40" t="inlineStr">
        <is>
          <t>2009/10</t>
        </is>
      </c>
      <c r="M7" s="40" t="inlineStr">
        <is>
          <t>2010/11</t>
        </is>
      </c>
      <c r="N7" s="40" t="inlineStr">
        <is>
          <t>2011/12</t>
        </is>
      </c>
      <c r="O7" s="40" t="inlineStr">
        <is>
          <t>2012/13</t>
        </is>
      </c>
      <c r="P7" s="40" t="inlineStr">
        <is>
          <t>2013/14</t>
        </is>
      </c>
      <c r="Q7" s="40" t="inlineStr">
        <is>
          <t>2014/15</t>
        </is>
      </c>
      <c r="R7" s="40" t="inlineStr">
        <is>
          <t>2015/16</t>
        </is>
      </c>
      <c r="S7" s="40" t="inlineStr">
        <is>
          <t>2016/17</t>
        </is>
      </c>
      <c r="T7" s="40" t="inlineStr">
        <is>
          <t>2017/18</t>
        </is>
      </c>
      <c r="U7" s="40" t="inlineStr">
        <is>
          <t>2018/19</t>
        </is>
      </c>
      <c r="V7" s="40" t="inlineStr">
        <is>
          <t>2019/20</t>
        </is>
      </c>
      <c r="W7" s="40" t="inlineStr">
        <is>
          <t>2020/21</t>
        </is>
      </c>
      <c r="X7" s="40" t="inlineStr">
        <is>
          <t>2021/22</t>
        </is>
      </c>
      <c r="Y7" s="40" t="inlineStr">
        <is>
          <t>2022/23</t>
        </is>
      </c>
      <c r="Z7" s="40" t="inlineStr">
        <is>
          <t>2023/24</t>
        </is>
      </c>
      <c r="AA7" s="40" t="inlineStr">
        <is>
          <t>2024/25</t>
        </is>
      </c>
    </row>
    <row r="8" ht="15" customHeight="1">
      <c r="A8" s="30" t="inlineStr">
        <is>
          <t>Opening Stocks</t>
        </is>
      </c>
      <c r="B8" s="31" t="n">
        <v>17</v>
      </c>
      <c r="C8" s="31" t="n">
        <v>19</v>
      </c>
      <c r="D8" s="31" t="n">
        <v>5</v>
      </c>
      <c r="E8" s="31" t="n">
        <v>5</v>
      </c>
      <c r="F8" s="31" t="n">
        <v>5</v>
      </c>
      <c r="G8" s="31" t="n">
        <v>5</v>
      </c>
      <c r="H8" s="31" t="n">
        <v>5</v>
      </c>
      <c r="I8" s="31" t="n">
        <v>5</v>
      </c>
      <c r="J8" s="31" t="n">
        <v>5</v>
      </c>
      <c r="K8" s="31" t="n">
        <v>5</v>
      </c>
      <c r="L8" s="31" t="n">
        <v>5</v>
      </c>
      <c r="M8" s="31" t="n">
        <v>5</v>
      </c>
      <c r="N8" s="31" t="n">
        <v>5</v>
      </c>
      <c r="O8" s="31" t="n">
        <v>5</v>
      </c>
      <c r="P8" s="31" t="n">
        <v>5</v>
      </c>
      <c r="Q8" s="31" t="n">
        <v>5</v>
      </c>
      <c r="R8" s="31" t="n">
        <v>5</v>
      </c>
      <c r="S8" s="31" t="n">
        <v>5</v>
      </c>
      <c r="T8" s="31" t="n">
        <v>5</v>
      </c>
      <c r="U8" s="31" t="n">
        <v>5</v>
      </c>
      <c r="V8" s="31" t="n">
        <v>5</v>
      </c>
      <c r="W8" s="31" t="n">
        <v>5</v>
      </c>
      <c r="X8" s="31" t="n">
        <v>5.259999999999991</v>
      </c>
      <c r="Y8" s="31" t="n">
        <v>9.968000000000014</v>
      </c>
      <c r="Z8" s="31" t="n">
        <v>5.919000000000008</v>
      </c>
      <c r="AA8" s="31" t="n">
        <v>12.31798999999996</v>
      </c>
    </row>
    <row r="9" ht="15" customHeight="1">
      <c r="A9" s="30" t="inlineStr">
        <is>
          <t>Production</t>
        </is>
      </c>
      <c r="B9" s="31" t="n">
        <v>137</v>
      </c>
      <c r="C9" s="31" t="n">
        <v>155</v>
      </c>
      <c r="D9" s="31" t="n">
        <v>98</v>
      </c>
      <c r="E9" s="31" t="n">
        <v>112</v>
      </c>
      <c r="F9" s="31" t="n">
        <v>104</v>
      </c>
      <c r="G9" s="31" t="n">
        <v>112.031</v>
      </c>
      <c r="H9" s="31" t="n">
        <v>115</v>
      </c>
      <c r="I9" s="31" t="n">
        <v>120.619</v>
      </c>
      <c r="J9" s="31" t="n">
        <v>118.136</v>
      </c>
      <c r="K9" s="31" t="n">
        <v>127.859</v>
      </c>
      <c r="L9" s="31" t="n">
        <v>130.283</v>
      </c>
      <c r="M9" s="31" t="n">
        <v>131.166</v>
      </c>
      <c r="N9" s="31" t="n">
        <v>120.312</v>
      </c>
      <c r="O9" s="31" t="n">
        <v>105</v>
      </c>
      <c r="P9" s="31" t="n">
        <v>107</v>
      </c>
      <c r="Q9" s="31" t="n">
        <v>131</v>
      </c>
      <c r="R9" s="31" t="n">
        <v>121</v>
      </c>
      <c r="S9" s="31" t="n">
        <v>110</v>
      </c>
      <c r="T9" s="31" t="n">
        <v>119.068</v>
      </c>
      <c r="U9" s="31" t="n">
        <v>169.346</v>
      </c>
      <c r="V9" s="31" t="n">
        <v>168.26</v>
      </c>
      <c r="W9" s="31" t="n">
        <v>168.26</v>
      </c>
      <c r="X9" s="31" t="n">
        <v>297</v>
      </c>
      <c r="Y9" s="31" t="n">
        <v>330.312</v>
      </c>
      <c r="Z9" s="31" t="n">
        <v>271</v>
      </c>
      <c r="AA9" s="31" t="n">
        <v>225.7092870637445</v>
      </c>
    </row>
    <row r="10" ht="15" customHeight="1">
      <c r="A10" s="30" t="inlineStr">
        <is>
          <t>Imports</t>
        </is>
      </c>
      <c r="B10" s="31" t="n">
        <v>1.4</v>
      </c>
      <c r="C10" s="31" t="n">
        <v>2</v>
      </c>
      <c r="D10" s="31" t="n">
        <v>1</v>
      </c>
      <c r="E10" s="31" t="n">
        <v>2</v>
      </c>
      <c r="F10" s="31" t="n">
        <v>2</v>
      </c>
      <c r="G10" s="31" t="n">
        <v>5</v>
      </c>
      <c r="H10" s="31" t="n">
        <v>5</v>
      </c>
      <c r="I10" s="31" t="n">
        <v>5</v>
      </c>
      <c r="J10" s="31" t="n">
        <v>157</v>
      </c>
      <c r="K10" s="31" t="n">
        <v>5</v>
      </c>
      <c r="L10" s="31" t="n">
        <v>1</v>
      </c>
      <c r="M10" s="31" t="n">
        <v>0</v>
      </c>
      <c r="N10" s="31" t="n">
        <v>1</v>
      </c>
      <c r="O10" s="31" t="n">
        <v>7</v>
      </c>
      <c r="P10" s="31" t="n">
        <v>3</v>
      </c>
      <c r="Q10" s="31" t="n">
        <v>1</v>
      </c>
      <c r="R10" s="31" t="n">
        <v>3</v>
      </c>
      <c r="S10" s="31" t="n">
        <v>3</v>
      </c>
      <c r="T10" s="31" t="n">
        <v>4.443</v>
      </c>
      <c r="U10" s="31" t="n">
        <v>2.95574</v>
      </c>
      <c r="V10" s="31" t="n">
        <v>1</v>
      </c>
      <c r="W10" s="31" t="n">
        <v>1</v>
      </c>
      <c r="X10" s="31" t="n">
        <v>10.987</v>
      </c>
      <c r="Y10" s="31" t="n">
        <v>4.412</v>
      </c>
      <c r="Z10" s="31" t="n">
        <v>4.597</v>
      </c>
      <c r="AA10" s="31" t="n">
        <v>10.545</v>
      </c>
    </row>
    <row r="11" ht="15" customHeight="1">
      <c r="A11" s="41" t="inlineStr">
        <is>
          <t>Total Availability</t>
        </is>
      </c>
      <c r="B11" s="42" t="n">
        <v>155</v>
      </c>
      <c r="C11" s="42" t="n">
        <v>176</v>
      </c>
      <c r="D11" s="42" t="n">
        <v>104</v>
      </c>
      <c r="E11" s="42" t="n">
        <v>119</v>
      </c>
      <c r="F11" s="42" t="n">
        <v>111</v>
      </c>
      <c r="G11" s="42" t="n">
        <v>122.031</v>
      </c>
      <c r="H11" s="42" t="n">
        <v>125</v>
      </c>
      <c r="I11" s="42" t="n">
        <v>130.619</v>
      </c>
      <c r="J11" s="42" t="n">
        <v>280.136</v>
      </c>
      <c r="K11" s="42" t="n">
        <v>137.859</v>
      </c>
      <c r="L11" s="42" t="n">
        <v>136.283</v>
      </c>
      <c r="M11" s="42" t="n">
        <v>136.166</v>
      </c>
      <c r="N11" s="42" t="n">
        <v>126.312</v>
      </c>
      <c r="O11" s="42" t="n">
        <v>117</v>
      </c>
      <c r="P11" s="42" t="n">
        <v>115</v>
      </c>
      <c r="Q11" s="42" t="n">
        <v>137</v>
      </c>
      <c r="R11" s="42" t="n">
        <v>129</v>
      </c>
      <c r="S11" s="42" t="n">
        <v>118</v>
      </c>
      <c r="T11" s="42" t="n">
        <v>128.511</v>
      </c>
      <c r="U11" s="42" t="n">
        <v>177.30174</v>
      </c>
      <c r="V11" s="42" t="n">
        <v>174.26</v>
      </c>
      <c r="W11" s="42" t="n">
        <v>174.26</v>
      </c>
      <c r="X11" s="42" t="n">
        <v>313.247</v>
      </c>
      <c r="Y11" s="42" t="n">
        <v>344.692</v>
      </c>
      <c r="Z11" s="42" t="n">
        <v>281.516</v>
      </c>
      <c r="AA11" s="42" t="n">
        <v>248.5722770637445</v>
      </c>
    </row>
    <row r="12" ht="15" customHeight="1">
      <c r="A12" s="32" t="inlineStr">
        <is>
          <t>Human and Industrial Consumption &amp; Animal Feed</t>
        </is>
      </c>
      <c r="B12" s="33" t="n">
        <v>133</v>
      </c>
      <c r="C12" s="33" t="n">
        <v>153</v>
      </c>
      <c r="D12" s="33" t="n">
        <v>96</v>
      </c>
      <c r="E12" s="33" t="n">
        <v>111</v>
      </c>
      <c r="F12" s="33" t="n">
        <v>103</v>
      </c>
      <c r="G12" s="33" t="n">
        <v>114.031</v>
      </c>
      <c r="H12" s="33" t="n">
        <v>117</v>
      </c>
      <c r="I12" s="33" t="n">
        <v>122.619</v>
      </c>
      <c r="J12" s="33" t="n">
        <v>272.136</v>
      </c>
      <c r="K12" s="33" t="n">
        <v>129.859</v>
      </c>
      <c r="L12" s="33" t="n">
        <v>131.283</v>
      </c>
      <c r="M12" s="33" t="n">
        <v>128.166</v>
      </c>
      <c r="N12" s="33" t="n">
        <v>111.312</v>
      </c>
      <c r="O12" s="33" t="n">
        <v>109</v>
      </c>
      <c r="P12" s="33" t="n">
        <v>107</v>
      </c>
      <c r="Q12" s="33" t="n">
        <v>129</v>
      </c>
      <c r="R12" s="33" t="n">
        <v>121</v>
      </c>
      <c r="S12" s="33" t="n">
        <v>110</v>
      </c>
      <c r="T12" s="33" t="n">
        <v>120.511</v>
      </c>
      <c r="U12" s="33" t="n">
        <v>169</v>
      </c>
      <c r="V12" s="33" t="n">
        <v>166</v>
      </c>
      <c r="W12" s="33" t="n">
        <v>166</v>
      </c>
      <c r="X12" s="33" t="n">
        <v>289</v>
      </c>
      <c r="Y12" s="33" t="n">
        <v>300</v>
      </c>
      <c r="Z12" s="33" t="n">
        <v>262</v>
      </c>
      <c r="AA12" s="33" t="n">
        <v>233</v>
      </c>
    </row>
    <row r="13" ht="15" customHeight="1">
      <c r="A13" s="34" t="inlineStr">
        <is>
          <t>(of which home grown)</t>
        </is>
      </c>
      <c r="B13" s="33" t="n">
        <v>110</v>
      </c>
      <c r="C13" s="33" t="n">
        <v>129</v>
      </c>
      <c r="D13" s="33" t="n">
        <v>73</v>
      </c>
      <c r="E13" s="33" t="n">
        <v>109</v>
      </c>
      <c r="F13" s="33" t="n">
        <v>101</v>
      </c>
      <c r="G13" s="33" t="n">
        <v>109.031</v>
      </c>
      <c r="H13" s="33" t="n">
        <v>112</v>
      </c>
      <c r="I13" s="33" t="n">
        <v>117.619</v>
      </c>
      <c r="J13" s="33" t="n">
        <v>115.136</v>
      </c>
      <c r="K13" s="33" t="n">
        <v>124.859</v>
      </c>
      <c r="L13" s="33" t="n">
        <v>127.283</v>
      </c>
      <c r="M13" s="33" t="n">
        <v>128.166</v>
      </c>
      <c r="N13" s="33" t="n">
        <v>110.312</v>
      </c>
      <c r="O13" s="33" t="n">
        <v>102</v>
      </c>
      <c r="P13" s="33" t="n">
        <v>104</v>
      </c>
      <c r="Q13" s="33" t="n">
        <v>128</v>
      </c>
      <c r="R13" s="33" t="n">
        <v>118</v>
      </c>
      <c r="S13" s="33" t="n">
        <v>107</v>
      </c>
      <c r="T13" s="33" t="n">
        <v>116.068</v>
      </c>
      <c r="U13" s="33" t="n">
        <v>166.04426</v>
      </c>
      <c r="V13" s="33" t="n">
        <v>165</v>
      </c>
      <c r="W13" s="33" t="n">
        <v>165</v>
      </c>
      <c r="X13" s="33" t="n">
        <v>279</v>
      </c>
      <c r="Y13" s="33" t="n">
        <v>290</v>
      </c>
      <c r="Z13" s="33" t="n">
        <v>256</v>
      </c>
      <c r="AA13" s="33" t="n">
        <v>229</v>
      </c>
    </row>
    <row r="14" ht="15" customHeight="1">
      <c r="A14" s="32" t="inlineStr">
        <is>
          <t>Seed</t>
        </is>
      </c>
      <c r="B14" s="33" t="n">
        <v>3</v>
      </c>
      <c r="C14" s="33" t="n">
        <v>3</v>
      </c>
      <c r="D14" s="33" t="n">
        <v>3</v>
      </c>
      <c r="E14" s="33" t="n">
        <v>3</v>
      </c>
      <c r="F14" s="33" t="n">
        <v>3</v>
      </c>
      <c r="G14" s="33" t="n">
        <v>3</v>
      </c>
      <c r="H14" s="33" t="n">
        <v>3</v>
      </c>
      <c r="I14" s="33" t="n">
        <v>3</v>
      </c>
      <c r="J14" s="33" t="n">
        <v>3</v>
      </c>
      <c r="K14" s="33" t="n">
        <v>3</v>
      </c>
      <c r="L14" s="33" t="n">
        <v>3</v>
      </c>
      <c r="M14" s="33" t="n">
        <v>3</v>
      </c>
      <c r="N14" s="33" t="n">
        <v>3</v>
      </c>
      <c r="O14" s="33" t="n">
        <v>3</v>
      </c>
      <c r="P14" s="33" t="n">
        <v>3</v>
      </c>
      <c r="Q14" s="33" t="n">
        <v>3</v>
      </c>
      <c r="R14" s="33" t="n">
        <v>3</v>
      </c>
      <c r="S14" s="33" t="n">
        <v>3</v>
      </c>
      <c r="T14" s="33" t="n">
        <v>3</v>
      </c>
      <c r="U14" s="33" t="n">
        <v>3</v>
      </c>
      <c r="V14" s="33" t="n">
        <v>3</v>
      </c>
      <c r="W14" s="33" t="n">
        <v>3</v>
      </c>
      <c r="X14" s="33" t="n">
        <v>10</v>
      </c>
      <c r="Y14" s="33" t="n">
        <v>10</v>
      </c>
      <c r="Z14" s="33" t="n">
        <v>7</v>
      </c>
      <c r="AA14" s="33" t="n">
        <v>7</v>
      </c>
    </row>
    <row r="15" ht="15" customHeight="1">
      <c r="A15" s="35" t="inlineStr">
        <is>
          <t>Other</t>
        </is>
      </c>
      <c r="B15" s="33" t="n">
        <v>0</v>
      </c>
      <c r="C15" s="33" t="n">
        <v>0</v>
      </c>
      <c r="D15" s="33" t="n">
        <v>0</v>
      </c>
      <c r="E15" s="33" t="n">
        <v>0</v>
      </c>
      <c r="F15" s="33" t="n">
        <v>0</v>
      </c>
      <c r="G15" s="33" t="n">
        <v>0</v>
      </c>
      <c r="H15" s="33" t="n">
        <v>0</v>
      </c>
      <c r="I15" s="33" t="n">
        <v>0</v>
      </c>
      <c r="J15" s="33" t="n">
        <v>0</v>
      </c>
      <c r="K15" s="33" t="n">
        <v>0</v>
      </c>
      <c r="L15" s="33" t="n">
        <v>0</v>
      </c>
      <c r="M15" s="33" t="n">
        <v>0</v>
      </c>
      <c r="N15" s="33" t="n">
        <v>0</v>
      </c>
      <c r="O15" s="33" t="n">
        <v>0</v>
      </c>
      <c r="P15" s="33" t="n">
        <v>0</v>
      </c>
      <c r="Q15" s="33" t="n">
        <v>0</v>
      </c>
      <c r="R15" s="33" t="n">
        <v>0</v>
      </c>
      <c r="S15" s="33" t="n">
        <v>0</v>
      </c>
      <c r="T15" s="33" t="n">
        <v>0</v>
      </c>
      <c r="U15" s="33" t="n">
        <v>0</v>
      </c>
      <c r="V15" s="33" t="n">
        <v>0</v>
      </c>
      <c r="W15" s="33" t="n">
        <v>0</v>
      </c>
      <c r="X15" s="33" t="n">
        <v>0</v>
      </c>
      <c r="Y15" s="33" t="n">
        <v>0</v>
      </c>
      <c r="Z15" s="33" t="n">
        <v>0</v>
      </c>
      <c r="AA15" s="33" t="n">
        <v>0</v>
      </c>
    </row>
    <row r="16" ht="15" customHeight="1">
      <c r="A16" s="36" t="inlineStr">
        <is>
          <t>Total Domestic Consumption</t>
        </is>
      </c>
      <c r="B16" s="37" t="n">
        <v>136</v>
      </c>
      <c r="C16" s="37" t="n">
        <v>156</v>
      </c>
      <c r="D16" s="37" t="n">
        <v>99</v>
      </c>
      <c r="E16" s="37" t="n">
        <v>114</v>
      </c>
      <c r="F16" s="37" t="n">
        <v>106</v>
      </c>
      <c r="G16" s="37" t="n">
        <v>117.031</v>
      </c>
      <c r="H16" s="37" t="n">
        <v>120</v>
      </c>
      <c r="I16" s="37" t="n">
        <v>125.619</v>
      </c>
      <c r="J16" s="37" t="n">
        <v>275.136</v>
      </c>
      <c r="K16" s="37" t="n">
        <v>132.859</v>
      </c>
      <c r="L16" s="37" t="n">
        <v>134.283</v>
      </c>
      <c r="M16" s="37" t="n">
        <v>131.166</v>
      </c>
      <c r="N16" s="37" t="n">
        <v>114.312</v>
      </c>
      <c r="O16" s="37" t="n">
        <v>112</v>
      </c>
      <c r="P16" s="37" t="n">
        <v>110</v>
      </c>
      <c r="Q16" s="37" t="n">
        <v>132</v>
      </c>
      <c r="R16" s="37" t="n">
        <v>124</v>
      </c>
      <c r="S16" s="37" t="n">
        <v>113</v>
      </c>
      <c r="T16" s="37" t="n">
        <v>123.511</v>
      </c>
      <c r="U16" s="37" t="n">
        <v>172</v>
      </c>
      <c r="V16" s="33" t="n">
        <v>169</v>
      </c>
      <c r="W16" s="33" t="n">
        <v>169</v>
      </c>
      <c r="X16" s="33" t="n">
        <v>299</v>
      </c>
      <c r="Y16" s="33" t="n">
        <v>310</v>
      </c>
      <c r="Z16" s="33" t="n">
        <v>269</v>
      </c>
      <c r="AA16" s="33" t="n">
        <v>240</v>
      </c>
    </row>
    <row r="17" ht="15" customHeight="1">
      <c r="A17" s="41" t="inlineStr">
        <is>
          <t>Balance</t>
        </is>
      </c>
      <c r="B17" s="42" t="n">
        <v>19</v>
      </c>
      <c r="C17" s="42" t="n">
        <v>20.2</v>
      </c>
      <c r="D17" s="42" t="n">
        <v>5</v>
      </c>
      <c r="E17" s="42" t="n">
        <v>5</v>
      </c>
      <c r="F17" s="42" t="n">
        <v>5</v>
      </c>
      <c r="G17" s="42" t="n">
        <v>5</v>
      </c>
      <c r="H17" s="42" t="n">
        <v>5</v>
      </c>
      <c r="I17" s="42" t="n">
        <v>5</v>
      </c>
      <c r="J17" s="42" t="n">
        <v>5</v>
      </c>
      <c r="K17" s="42" t="n">
        <v>5</v>
      </c>
      <c r="L17" s="42" t="n">
        <v>2</v>
      </c>
      <c r="M17" s="42" t="n">
        <v>5</v>
      </c>
      <c r="N17" s="42" t="n">
        <v>12</v>
      </c>
      <c r="O17" s="42" t="n">
        <v>5</v>
      </c>
      <c r="P17" s="42" t="n">
        <v>0</v>
      </c>
      <c r="Q17" s="42" t="n">
        <v>0</v>
      </c>
      <c r="R17" s="42" t="n">
        <v>5</v>
      </c>
      <c r="S17" s="42" t="n">
        <v>5</v>
      </c>
      <c r="T17" s="42" t="n">
        <v>5.000000000000028</v>
      </c>
      <c r="U17" s="42" t="n">
        <v>5.301739999999995</v>
      </c>
      <c r="V17" s="42" t="n">
        <v>5.259999999999991</v>
      </c>
      <c r="W17" s="42" t="n">
        <v>5.259999999999991</v>
      </c>
      <c r="X17" s="42" t="n">
        <v>14.24700000000001</v>
      </c>
      <c r="Y17" s="42" t="n">
        <v>34.69200000000001</v>
      </c>
      <c r="Z17" s="42" t="n">
        <v>12.51599999999996</v>
      </c>
      <c r="AA17" s="42" t="n">
        <v>8.572277063744451</v>
      </c>
    </row>
    <row r="18" ht="15" customHeight="1">
      <c r="A18" s="34" t="inlineStr">
        <is>
          <t>Exportable surplus</t>
        </is>
      </c>
      <c r="B18" s="33" t="n">
        <v>0</v>
      </c>
      <c r="C18" s="33" t="n">
        <v>15</v>
      </c>
      <c r="D18" s="33" t="n">
        <v>0</v>
      </c>
      <c r="E18" s="33" t="n">
        <v>0</v>
      </c>
      <c r="F18" s="33" t="n">
        <v>0</v>
      </c>
      <c r="G18" s="33" t="n">
        <v>0</v>
      </c>
      <c r="H18" s="33" t="n">
        <v>0</v>
      </c>
      <c r="I18" s="33" t="n">
        <v>0</v>
      </c>
      <c r="J18" s="33" t="n">
        <v>0</v>
      </c>
      <c r="K18" s="33" t="n">
        <v>0</v>
      </c>
      <c r="L18" s="33" t="n">
        <v>0</v>
      </c>
      <c r="M18" s="33" t="n">
        <v>0</v>
      </c>
      <c r="N18" s="33" t="n">
        <v>7</v>
      </c>
      <c r="O18" s="33" t="n">
        <v>0</v>
      </c>
      <c r="P18" s="33" t="n">
        <v>0</v>
      </c>
      <c r="Q18" s="33" t="n">
        <v>0</v>
      </c>
      <c r="R18" s="33" t="n">
        <v>0</v>
      </c>
      <c r="S18" s="33" t="n">
        <v>0</v>
      </c>
      <c r="T18" s="33" t="n">
        <v>0</v>
      </c>
      <c r="U18" s="33" t="n">
        <v>0</v>
      </c>
      <c r="V18" s="33" t="n">
        <v>0</v>
      </c>
      <c r="W18" s="33" t="n">
        <v>0</v>
      </c>
      <c r="X18" s="33" t="n">
        <v>4.279</v>
      </c>
      <c r="Y18" s="33" t="n">
        <v>28.773</v>
      </c>
      <c r="Z18" s="33" t="n">
        <v>0.19801</v>
      </c>
      <c r="AA18" s="33" t="n">
        <v>0</v>
      </c>
    </row>
    <row r="19" ht="15" customHeight="1">
      <c r="A19" s="46" t="inlineStr">
        <is>
          <t>Commercial End-Season Stocks</t>
        </is>
      </c>
      <c r="B19" s="42" t="n">
        <v>4</v>
      </c>
      <c r="C19" s="42" t="n">
        <v>5</v>
      </c>
      <c r="D19" s="42" t="n">
        <v>5</v>
      </c>
      <c r="E19" s="42" t="n">
        <v>5</v>
      </c>
      <c r="F19" s="42" t="n">
        <v>5</v>
      </c>
      <c r="G19" s="42" t="n">
        <v>5</v>
      </c>
      <c r="H19" s="42" t="n">
        <v>5</v>
      </c>
      <c r="I19" s="42" t="n">
        <v>5</v>
      </c>
      <c r="J19" s="42" t="n">
        <v>5</v>
      </c>
      <c r="K19" s="42" t="n">
        <v>5</v>
      </c>
      <c r="L19" s="42" t="n">
        <v>5</v>
      </c>
      <c r="M19" s="42" t="n">
        <v>5</v>
      </c>
      <c r="N19" s="42" t="n">
        <v>5</v>
      </c>
      <c r="O19" s="42" t="n">
        <v>5</v>
      </c>
      <c r="P19" s="42" t="n">
        <v>5</v>
      </c>
      <c r="Q19" s="42" t="n">
        <v>5</v>
      </c>
      <c r="R19" s="42" t="n">
        <v>5</v>
      </c>
      <c r="S19" s="42" t="n">
        <v>5</v>
      </c>
      <c r="T19" s="42" t="n">
        <v>5</v>
      </c>
      <c r="U19" s="42" t="n">
        <v>5.301739999999995</v>
      </c>
      <c r="V19" s="42" t="n">
        <v>5.259999999999991</v>
      </c>
      <c r="W19" s="42" t="n">
        <v>5.259999999999991</v>
      </c>
      <c r="X19" s="42" t="n">
        <v>9.968000000000014</v>
      </c>
      <c r="Y19" s="42" t="n">
        <v>5.919000000000008</v>
      </c>
      <c r="Z19" s="42" t="n">
        <v>12.31798999999996</v>
      </c>
      <c r="AA19" s="42" t="n">
        <v>8.434277063744451</v>
      </c>
      <c r="AB19" s="51" t="n"/>
    </row>
    <row r="20" ht="15" customHeight="1">
      <c r="A20" s="35" t="inlineStr">
        <is>
          <t>Residual (f)</t>
        </is>
      </c>
      <c r="B20" s="33" t="inlineStr">
        <is>
          <t>n/a</t>
        </is>
      </c>
      <c r="C20" s="33" t="inlineStr">
        <is>
          <t>n/a</t>
        </is>
      </c>
      <c r="D20" s="33" t="inlineStr">
        <is>
          <t>n/a</t>
        </is>
      </c>
      <c r="E20" s="33" t="inlineStr">
        <is>
          <t>n/a</t>
        </is>
      </c>
      <c r="F20" s="33" t="inlineStr">
        <is>
          <t>n/a</t>
        </is>
      </c>
      <c r="G20" s="33" t="inlineStr">
        <is>
          <t>n/a</t>
        </is>
      </c>
      <c r="H20" s="33" t="inlineStr">
        <is>
          <t>n/a</t>
        </is>
      </c>
      <c r="I20" s="33" t="inlineStr">
        <is>
          <t>n/a</t>
        </is>
      </c>
      <c r="J20" s="33" t="inlineStr">
        <is>
          <t>n/a</t>
        </is>
      </c>
      <c r="K20" s="33" t="inlineStr">
        <is>
          <t>n/a</t>
        </is>
      </c>
      <c r="L20" s="33" t="inlineStr">
        <is>
          <t>n/a</t>
        </is>
      </c>
      <c r="M20" s="33" t="inlineStr">
        <is>
          <t>n/a</t>
        </is>
      </c>
      <c r="N20" s="33" t="inlineStr">
        <is>
          <t>n/a</t>
        </is>
      </c>
      <c r="O20" s="33" t="inlineStr">
        <is>
          <t>n/a</t>
        </is>
      </c>
      <c r="P20" s="33" t="inlineStr">
        <is>
          <t>n/a</t>
        </is>
      </c>
      <c r="Q20" s="33" t="inlineStr">
        <is>
          <t>n/a</t>
        </is>
      </c>
      <c r="R20" s="33" t="inlineStr">
        <is>
          <t>n/a</t>
        </is>
      </c>
      <c r="S20" s="33" t="n">
        <v>0</v>
      </c>
      <c r="T20" s="33" t="n">
        <v>0</v>
      </c>
      <c r="U20" s="33" t="n">
        <v>0</v>
      </c>
      <c r="V20" s="33" t="n">
        <v>0</v>
      </c>
      <c r="W20" s="33" t="n">
        <v>0</v>
      </c>
      <c r="X20" s="33" t="n">
        <v>0</v>
      </c>
      <c r="Y20" s="33" t="n">
        <v>0</v>
      </c>
      <c r="Z20" s="33" t="inlineStr">
        <is>
          <t>-</t>
        </is>
      </c>
      <c r="AA20" s="33" t="n">
        <v>0</v>
      </c>
    </row>
  </sheetData>
  <mergeCells count="1">
    <mergeCell ref="A2:L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8" r:id="rId4"/>
    <hyperlink xmlns:r="http://schemas.openxmlformats.org/officeDocument/2006/relationships" ref="A19" r:id="rId5"/>
  </hyperlinks>
  <pageMargins left="0.7" right="0.7" top="0.75" bottom="0.75" header="0.3" footer="0.3"/>
  <pageSetup orientation="portrait" paperSize="9"/>
  <drawing xmlns:r="http://schemas.openxmlformats.org/officeDocument/2006/relationships" r:id="rId6"/>
</worksheet>
</file>

<file path=xl/worksheets/sheet7.xml><?xml version="1.0" encoding="utf-8"?>
<worksheet xmlns="http://schemas.openxmlformats.org/spreadsheetml/2006/main">
  <sheetPr>
    <outlinePr summaryBelow="1" summaryRight="1"/>
    <pageSetUpPr/>
  </sheetPr>
  <dimension ref="A2:Q33"/>
  <sheetViews>
    <sheetView workbookViewId="0">
      <selection activeCell="A1" sqref="A1"/>
    </sheetView>
  </sheetViews>
  <sheetFormatPr baseColWidth="8" defaultColWidth="9.1796875" defaultRowHeight="15.75" customHeight="1"/>
  <cols>
    <col width="87.7265625" customWidth="1" style="14" min="1" max="1"/>
    <col width="12.7265625" customWidth="1" style="14" min="2" max="11"/>
    <col width="9.1796875" customWidth="1" style="14" min="12" max="16384"/>
  </cols>
  <sheetData>
    <row r="1" ht="15.75" customHeight="1" thickBot="1"/>
    <row r="2" ht="15.75" customHeight="1">
      <c r="A2" s="15" t="inlineStr">
        <is>
          <t>Notes</t>
        </is>
      </c>
      <c r="B2" s="15" t="n"/>
      <c r="C2" s="15" t="n"/>
      <c r="D2" s="15" t="n"/>
      <c r="E2" s="15" t="n"/>
      <c r="F2" s="15" t="n"/>
      <c r="G2" s="15" t="n"/>
      <c r="H2" s="15" t="n"/>
      <c r="I2" s="15" t="n"/>
      <c r="J2" s="15" t="n"/>
      <c r="K2" s="15" t="n"/>
    </row>
    <row r="3" ht="15.75" customHeight="1">
      <c r="A3" s="25" t="n"/>
      <c r="B3" s="16" t="n"/>
      <c r="C3" s="16" t="n"/>
      <c r="D3" s="16" t="n"/>
      <c r="E3" s="16" t="n"/>
      <c r="F3" s="16" t="n"/>
      <c r="G3" s="16" t="n"/>
      <c r="H3" s="16" t="n"/>
      <c r="I3" s="16" t="n"/>
      <c r="J3" s="16" t="n"/>
      <c r="K3" s="16" t="n"/>
    </row>
    <row r="4" ht="15.75" customHeight="1">
      <c r="A4" s="26" t="inlineStr">
        <is>
          <t>Figures in this dataset were last updated on 26 March 2026. The data in this file may differ from the most recent data published.</t>
        </is>
      </c>
      <c r="B4" s="16" t="n"/>
      <c r="C4" s="16" t="n"/>
      <c r="D4" s="16" t="n"/>
      <c r="E4" s="16" t="n"/>
      <c r="F4" s="16" t="n"/>
      <c r="G4" s="16" t="n"/>
      <c r="H4" s="16" t="n"/>
      <c r="I4" s="16" t="n"/>
      <c r="J4" s="16" t="n"/>
      <c r="K4" s="16" t="n"/>
    </row>
    <row r="5" ht="15.75" customHeight="1">
      <c r="A5" s="26" t="inlineStr">
        <is>
          <t>Due to rounding, totals may not agree with the sum of the individual items.</t>
        </is>
      </c>
      <c r="B5" s="16" t="n"/>
      <c r="C5" s="16" t="n"/>
      <c r="D5" s="16" t="n"/>
      <c r="E5" s="16" t="n"/>
      <c r="F5" s="16" t="n"/>
      <c r="G5" s="16" t="n"/>
      <c r="H5" s="16" t="n"/>
      <c r="I5" s="16" t="n"/>
      <c r="J5" s="16" t="n"/>
      <c r="K5" s="16" t="n"/>
    </row>
    <row r="6" ht="15.75" customHeight="1">
      <c r="A6" s="25" t="n"/>
      <c r="B6" s="16" t="n"/>
      <c r="C6" s="16" t="n"/>
      <c r="D6" s="16" t="n"/>
      <c r="E6" s="16" t="n"/>
      <c r="F6" s="16" t="n"/>
      <c r="G6" s="16" t="n"/>
      <c r="H6" s="16" t="n"/>
      <c r="I6" s="16" t="n"/>
      <c r="J6" s="16" t="n"/>
      <c r="K6" s="16" t="n"/>
    </row>
    <row r="7" ht="15" customFormat="1" customHeight="1" s="26">
      <c r="A7" s="26" t="inlineStr">
        <is>
          <t xml:space="preserve">(a) Defra updated the registry for the UK flour millers survey in spring 2016, the wheat H&amp;I usage has been adjusted to take account of this change. </t>
        </is>
      </c>
    </row>
    <row r="8" ht="15" customFormat="1" customHeight="1" s="26">
      <c r="A8" s="26" t="inlineStr">
        <is>
          <t>(b) Seed numbers have been updated based on a number of assumptions, calculated for the purposes of the balance sheet only</t>
        </is>
      </c>
    </row>
    <row r="9" ht="15" customFormat="1" customHeight="1" s="26">
      <c r="A9" s="26" t="inlineStr">
        <is>
          <t>(c) Estimated Operating Stocks Requirement is a calculated estimate of the minimum tonnage that users of grain require to get through to a point at which new crop can be utilised.</t>
        </is>
      </c>
      <c r="I9" s="29" t="inlineStr">
        <is>
          <t>For more information please click here.</t>
        </is>
      </c>
      <c r="J9" s="28" t="n"/>
      <c r="K9" s="28" t="n"/>
      <c r="L9" s="28" t="n"/>
    </row>
    <row r="10" ht="15" customFormat="1" customHeight="1" s="26">
      <c r="A10" s="26" t="inlineStr">
        <is>
          <t>(d) Free stock is the stock available after both exports and estimated operating stock requirements have been fulfilled.</t>
        </is>
      </c>
    </row>
    <row r="11" ht="15" customFormat="1" customHeight="1" s="26">
      <c r="A11" s="26" t="inlineStr">
        <is>
          <t>(e) 2014/15 new format: Maize demand in "Other food use" has been added to the H&amp;I total for maize. This was previously included in the "Other" category</t>
        </is>
      </c>
    </row>
    <row r="12" ht="15" customFormat="1" customHeight="1" s="26">
      <c r="A12" s="26" t="inlineStr">
        <is>
          <t xml:space="preserve">(f) Residual = Balance - Exports - Commercial End-Season Stocks </t>
        </is>
      </c>
    </row>
    <row r="13" ht="15" customFormat="1" customHeight="1" s="26">
      <c r="A13" s="26" t="inlineStr">
        <is>
          <t>(g) Includes mainly rye, triticale and mixed grain.</t>
        </is>
      </c>
    </row>
    <row r="14" ht="15" customFormat="1" customHeight="1" s="26">
      <c r="A14" s="26" t="inlineStr">
        <is>
          <t xml:space="preserve">*These balance sheets were adjusted in line with Defra's reliability allocation method. </t>
        </is>
      </c>
      <c r="C14" s="29" t="n"/>
      <c r="D14" s="29" t="n"/>
      <c r="F14" s="29" t="n"/>
    </row>
    <row r="15" ht="15" customFormat="1" customHeight="1" s="26">
      <c r="A15" s="49" t="inlineStr">
        <is>
          <t>** Due to the highly unusual nature of the 2020/21 seasons hugely reduced wheat production figure, an extra line is included in the balance sheet to show the operating stock deficit.</t>
        </is>
      </c>
      <c r="C15" s="29" t="n"/>
      <c r="D15" s="29" t="n"/>
      <c r="F15" s="29" t="n"/>
    </row>
    <row r="16" ht="16" customHeight="1" thickBot="1">
      <c r="A16" s="50" t="n"/>
      <c r="B16" s="17" t="n"/>
      <c r="C16" s="17" t="n"/>
      <c r="D16" s="17" t="n"/>
      <c r="E16" s="17" t="n"/>
      <c r="F16" s="17" t="n"/>
      <c r="G16" s="17" t="n"/>
      <c r="H16" s="17" t="n"/>
      <c r="I16" s="17" t="n"/>
      <c r="J16" s="17" t="n"/>
      <c r="K16" s="17" t="n"/>
    </row>
    <row r="17" ht="15.75" customHeight="1">
      <c r="A17" s="16" t="inlineStr">
        <is>
          <t>Disclaimer</t>
        </is>
      </c>
      <c r="B17" s="16" t="n"/>
      <c r="C17" s="16" t="n"/>
      <c r="D17" s="16" t="n"/>
      <c r="E17" s="16" t="n"/>
      <c r="F17" s="16" t="n"/>
      <c r="G17" s="16" t="n"/>
      <c r="H17" s="16" t="n"/>
      <c r="I17" s="16" t="n"/>
      <c r="J17" s="16" t="n"/>
      <c r="K17" s="16" t="n"/>
    </row>
    <row r="18" ht="15.75" customHeight="1">
      <c r="A18" s="16" t="n"/>
      <c r="B18" s="16" t="n"/>
      <c r="C18" s="16" t="n"/>
      <c r="D18" s="16" t="n"/>
      <c r="E18" s="16" t="n"/>
      <c r="F18" s="16" t="n"/>
      <c r="G18" s="16" t="n"/>
      <c r="H18" s="16" t="n"/>
      <c r="I18" s="16" t="n"/>
      <c r="J18" s="16" t="n"/>
      <c r="K18" s="16" t="n"/>
    </row>
    <row r="19" ht="63" customHeight="1">
      <c r="A19" s="54" t="inlineStr">
        <is>
          <t>While the Agriculture and Horticulture Development Board seeks to ensure that the information contained within this document is accurate at the time of printing, no warranty is given in respect thereof and, to the maximum extent permitted by law the Agriculture and Horticulture development Board accepts no liability for loss, damage or injury howsoever caused (including that caused by negligence) or suffered directly or indirectly in relation to information and opinions contained in or omitted from this document.</t>
        </is>
      </c>
      <c r="L19" s="19" t="n"/>
      <c r="M19" s="19" t="n"/>
      <c r="N19" s="19" t="n"/>
      <c r="O19" s="19" t="n"/>
      <c r="P19" s="19" t="n"/>
      <c r="Q19" s="19" t="n"/>
    </row>
    <row r="20" ht="15.75" customHeight="1">
      <c r="A20" s="19" t="n"/>
      <c r="B20" s="19" t="n"/>
      <c r="C20" s="19" t="n"/>
      <c r="D20" s="19" t="n"/>
      <c r="E20" s="19" t="n"/>
      <c r="F20" s="19" t="n"/>
      <c r="G20" s="19" t="n"/>
      <c r="H20" s="19" t="n"/>
      <c r="I20" s="19" t="n"/>
      <c r="J20" s="19" t="n"/>
      <c r="K20" s="19" t="n"/>
      <c r="L20" s="19" t="n"/>
      <c r="M20" s="19" t="n"/>
      <c r="N20" s="19" t="n"/>
      <c r="O20" s="19" t="n"/>
      <c r="P20" s="19" t="n"/>
      <c r="Q20" s="19" t="n"/>
    </row>
    <row r="21" ht="15.75" customHeight="1">
      <c r="A21" s="57" t="inlineStr">
        <is>
          <t xml:space="preserve"> ©Agriculture and Horticulture Development Board 2026. All rights reserved.</t>
        </is>
      </c>
      <c r="J21" s="19" t="n"/>
      <c r="K21" s="19" t="n"/>
      <c r="L21" s="19" t="n"/>
      <c r="M21" s="19" t="n"/>
      <c r="N21" s="19" t="n"/>
      <c r="O21" s="19" t="n"/>
      <c r="P21" s="19" t="n"/>
      <c r="Q21" s="19" t="n"/>
    </row>
    <row r="22" ht="15.75" customHeight="1" thickBot="1">
      <c r="A22" s="17" t="n"/>
      <c r="B22" s="17" t="n"/>
      <c r="C22" s="17" t="n"/>
      <c r="D22" s="17" t="n"/>
      <c r="E22" s="17" t="n"/>
      <c r="F22" s="17" t="n"/>
      <c r="G22" s="17" t="n"/>
      <c r="H22" s="17" t="n"/>
      <c r="I22" s="17" t="n"/>
      <c r="J22" s="17" t="n"/>
      <c r="K22" s="17" t="n"/>
    </row>
    <row r="23" ht="15.75" customHeight="1">
      <c r="A23" s="15" t="inlineStr">
        <is>
          <t>Contact us</t>
        </is>
      </c>
      <c r="B23" s="15" t="n"/>
      <c r="C23" s="15" t="n"/>
      <c r="D23" s="15" t="n"/>
      <c r="E23" s="15" t="n"/>
      <c r="F23" s="15" t="n"/>
      <c r="G23" s="15" t="n"/>
      <c r="H23" s="15" t="n"/>
      <c r="I23" s="15" t="n"/>
      <c r="J23" s="15" t="n"/>
      <c r="K23" s="15" t="n"/>
    </row>
    <row r="24" ht="15.75" customHeight="1">
      <c r="A24" s="16" t="n"/>
      <c r="B24" s="16" t="n"/>
      <c r="C24" s="16" t="n"/>
      <c r="D24" s="16" t="n"/>
      <c r="E24" s="16" t="n"/>
      <c r="F24" s="16" t="n"/>
      <c r="G24" s="16" t="n"/>
      <c r="H24" s="16" t="n"/>
      <c r="I24" s="16" t="n"/>
      <c r="J24" s="16" t="n"/>
      <c r="K24" s="16" t="n"/>
    </row>
    <row r="25" ht="15.75" customHeight="1">
      <c r="A25" s="53" t="inlineStr">
        <is>
          <t>Head office address</t>
        </is>
      </c>
      <c r="B25" s="54" t="inlineStr">
        <is>
          <t>Agriculture and Horticulture Development Board 
Middlemarch Business Park
Siskin Parkway East 
Coventry
CV3 4PE</t>
        </is>
      </c>
    </row>
    <row r="26" ht="15.75" customHeight="1"/>
    <row r="27" ht="15.75" customHeight="1">
      <c r="A27" s="19" t="n"/>
    </row>
    <row r="28" ht="15.75" customHeight="1">
      <c r="A28" s="20" t="n"/>
    </row>
    <row r="29" ht="15.75" customHeight="1">
      <c r="A29" s="20" t="n"/>
    </row>
    <row r="30" ht="15.75" customHeight="1">
      <c r="A30" s="21" t="inlineStr">
        <is>
          <t>Telephone</t>
        </is>
      </c>
      <c r="B30" s="20" t="inlineStr">
        <is>
          <t>024 7647 8942</t>
        </is>
      </c>
      <c r="C30" s="20" t="n"/>
      <c r="D30" s="20" t="n"/>
      <c r="E30" s="20" t="n"/>
      <c r="F30" s="20" t="n"/>
      <c r="G30" s="20" t="n"/>
      <c r="H30" s="20" t="n"/>
      <c r="I30" s="20" t="n"/>
      <c r="J30" s="20" t="n"/>
      <c r="K30" s="20" t="n"/>
    </row>
    <row r="31" ht="15.75" customHeight="1">
      <c r="A31" s="55" t="inlineStr">
        <is>
          <t>Email</t>
        </is>
      </c>
      <c r="B31" s="56" t="inlineStr">
        <is>
          <t>balance.sheet.team@ahdb.org.uk</t>
        </is>
      </c>
      <c r="C31" s="56" t="n"/>
      <c r="D31" s="56" t="n"/>
      <c r="E31" s="56" t="n"/>
      <c r="F31" s="56" t="n"/>
      <c r="G31" s="56" t="n"/>
      <c r="H31" s="56" t="n"/>
      <c r="I31" s="56" t="n"/>
      <c r="J31" s="56" t="n"/>
      <c r="K31" s="56" t="n"/>
    </row>
    <row r="32" ht="15.75" customHeight="1">
      <c r="A32" s="55" t="inlineStr">
        <is>
          <t>Website</t>
        </is>
      </c>
      <c r="B32" s="56" t="inlineStr">
        <is>
          <t>ahdb.org.uk</t>
        </is>
      </c>
    </row>
    <row r="33" ht="15.75" customHeight="1" thickBot="1">
      <c r="A33" s="24" t="n"/>
      <c r="B33" s="17" t="n"/>
      <c r="C33" s="17" t="n"/>
      <c r="D33" s="17" t="n"/>
      <c r="E33" s="17" t="n"/>
      <c r="F33" s="17" t="n"/>
      <c r="G33" s="17" t="n"/>
      <c r="H33" s="17" t="n"/>
      <c r="I33" s="17" t="n"/>
      <c r="J33" s="17" t="n"/>
      <c r="K33" s="17" t="n"/>
    </row>
  </sheetData>
  <mergeCells count="5">
    <mergeCell ref="B32:K32"/>
    <mergeCell ref="A25:A26"/>
    <mergeCell ref="A19:K19"/>
    <mergeCell ref="B25:K29"/>
    <mergeCell ref="A21:I21"/>
  </mergeCells>
  <hyperlinks>
    <hyperlink xmlns:r="http://schemas.openxmlformats.org/officeDocument/2006/relationships" ref="I9" r:id="rId1"/>
    <hyperlink xmlns:r="http://schemas.openxmlformats.org/officeDocument/2006/relationships" ref="B31" r:id="rId2"/>
    <hyperlink xmlns:r="http://schemas.openxmlformats.org/officeDocument/2006/relationships" ref="B32" display="ahdb.org.uk" r:id="rId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Millie Askew</dc:creator>
  <dcterms:created xmlns:dcterms="http://purl.org/dc/terms/" xmlns:xsi="http://www.w3.org/2001/XMLSchema-instance" xsi:type="dcterms:W3CDTF">2019-07-08T13:25:36Z</dcterms:created>
  <dcterms:modified xmlns:dcterms="http://purl.org/dc/terms/" xmlns:xsi="http://www.w3.org/2001/XMLSchema-instance" xsi:type="dcterms:W3CDTF">2026-07-29T15:16:33Z</dcterms:modified>
  <cp:lastModifiedBy>Helen Plant</cp:lastModifiedBy>
</cp:coreProperties>
</file>